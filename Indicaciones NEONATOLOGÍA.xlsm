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ospitalsanjuandedios-my.sharepoint.com/personal/daniel_perez_sanjuandedios_org_ar/Documents/Indicaciones/Terapias/"/>
    </mc:Choice>
  </mc:AlternateContent>
  <xr:revisionPtr revIDLastSave="1333" documentId="13_ncr:1_{1031CC9E-716C-4D07-8BB2-579ACF60FD9A}" xr6:coauthVersionLast="47" xr6:coauthVersionMax="47" xr10:uidLastSave="{77C7EBD9-1C89-4555-BF88-F6F011772625}"/>
  <workbookProtection workbookAlgorithmName="SHA-512" workbookHashValue="SdgMjxClI3KkrG/ZRBBCIpHWkVuWel27tCcikeADZ3G746yFVQdpNgSuQqRKyVvGUUCGUtVUARgpbEz207WYmw==" workbookSaltValue="Nf3azoer/BIK6LEj81iSZA==" workbookSpinCount="100000" lockStructure="1"/>
  <bookViews>
    <workbookView xWindow="-120" yWindow="-120" windowWidth="29040" windowHeight="15840" xr2:uid="{445E1DD6-8270-4240-9383-D303B2CDEBEC}"/>
  </bookViews>
  <sheets>
    <sheet name="INDICACIONES" sheetId="1" r:id="rId1"/>
    <sheet name="ALIMENTACIÓN" sheetId="9" state="hidden" r:id="rId2"/>
    <sheet name="PHP" sheetId="5" r:id="rId3"/>
    <sheet name="PHP PREARMADOS" sheetId="10" state="hidden" r:id="rId4"/>
    <sheet name="CONTROLES" sheetId="8" state="hidden" r:id="rId5"/>
    <sheet name="PARAMETROS PHP" sheetId="6" state="hidden" r:id="rId6"/>
    <sheet name="MEDICACION" sheetId="2" state="hidden" r:id="rId7"/>
    <sheet name="POSOLOGIA" sheetId="3" state="hidden" r:id="rId8"/>
    <sheet name="VIAS" sheetId="7" state="hidden" r:id="rId9"/>
    <sheet name="HORARIO" sheetId="4" state="hidden" r:id="rId10"/>
  </sheets>
  <definedNames>
    <definedName name="AMPOLLAS">PHP!$CB$1:$CB$170</definedName>
    <definedName name="_xlnm.Print_Area" localSheetId="0">INDICACIONES!$A$39:$AH$85</definedName>
    <definedName name="CONTROLES">CONTROLES!$B$2:$B$18</definedName>
    <definedName name="GOTEO">'PARAMETROS PHP'!$D$2:$D$5</definedName>
    <definedName name="Horario">HORARIO!$A$1:$A$24</definedName>
    <definedName name="Medicacion">MEDICACION!$E$2:$E$619</definedName>
    <definedName name="PLAN">'PARAMETROS PHP'!$A$2:$A$4</definedName>
    <definedName name="POSOLOGIA">POSOLOGIA!$A$2:$A$17</definedName>
    <definedName name="SOLUCIONES">'PARAMETROS PHP'!$G$2:$G$22</definedName>
    <definedName name="VIA">'PARAMETROS PHP'!$B$2:$B$5</definedName>
    <definedName name="VIAS">VIAS!$A$2:$A$19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0" i="1" l="1"/>
  <c r="A41" i="1"/>
  <c r="A42" i="1"/>
  <c r="A43" i="1"/>
  <c r="A44" i="1"/>
  <c r="A45" i="1"/>
  <c r="A46" i="1"/>
  <c r="A47" i="1"/>
  <c r="A48" i="1"/>
  <c r="A49" i="1"/>
  <c r="A50" i="1"/>
  <c r="A51" i="1"/>
  <c r="G20" i="6"/>
  <c r="G21" i="6"/>
  <c r="G22" i="6"/>
  <c r="E619" i="2"/>
  <c r="E618" i="2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" i="6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P1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2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2" i="6"/>
  <c r="B5" i="1"/>
  <c r="E555" i="2"/>
  <c r="E554" i="2"/>
  <c r="E553" i="2"/>
  <c r="E552" i="2"/>
  <c r="E551" i="2"/>
  <c r="E550" i="2"/>
  <c r="E549" i="2"/>
  <c r="E548" i="2"/>
  <c r="E547" i="2"/>
  <c r="E546" i="2"/>
  <c r="E545" i="2"/>
  <c r="E544" i="2"/>
  <c r="E543" i="2"/>
  <c r="E542" i="2"/>
  <c r="E541" i="2"/>
  <c r="E540" i="2"/>
  <c r="E539" i="2"/>
  <c r="E538" i="2"/>
  <c r="E537" i="2"/>
  <c r="E536" i="2"/>
  <c r="E535" i="2"/>
  <c r="E534" i="2"/>
  <c r="E533" i="2"/>
  <c r="E532" i="2"/>
  <c r="E531" i="2"/>
  <c r="E530" i="2"/>
  <c r="E529" i="2"/>
  <c r="E528" i="2"/>
  <c r="E527" i="2"/>
  <c r="E526" i="2"/>
  <c r="E525" i="2"/>
  <c r="E524" i="2"/>
  <c r="E523" i="2"/>
  <c r="E522" i="2"/>
  <c r="E521" i="2"/>
  <c r="E520" i="2"/>
  <c r="E519" i="2"/>
  <c r="E518" i="2"/>
  <c r="E517" i="2"/>
  <c r="E516" i="2"/>
  <c r="E515" i="2"/>
  <c r="E514" i="2"/>
  <c r="E513" i="2"/>
  <c r="E512" i="2"/>
  <c r="E511" i="2"/>
  <c r="E510" i="2"/>
  <c r="E509" i="2"/>
  <c r="E508" i="2"/>
  <c r="E507" i="2"/>
  <c r="E506" i="2"/>
  <c r="E505" i="2"/>
  <c r="E504" i="2"/>
  <c r="E503" i="2"/>
  <c r="E502" i="2"/>
  <c r="E501" i="2"/>
  <c r="E500" i="2"/>
  <c r="E499" i="2"/>
  <c r="E498" i="2"/>
  <c r="E497" i="2"/>
  <c r="E496" i="2"/>
  <c r="E495" i="2"/>
  <c r="E494" i="2"/>
  <c r="E493" i="2"/>
  <c r="E492" i="2"/>
  <c r="E491" i="2"/>
  <c r="E490" i="2"/>
  <c r="E489" i="2"/>
  <c r="E488" i="2"/>
  <c r="E487" i="2"/>
  <c r="E486" i="2"/>
  <c r="E485" i="2"/>
  <c r="E484" i="2"/>
  <c r="E483" i="2"/>
  <c r="E482" i="2"/>
  <c r="E481" i="2"/>
  <c r="E480" i="2"/>
  <c r="E479" i="2"/>
  <c r="E478" i="2"/>
  <c r="E477" i="2"/>
  <c r="E476" i="2"/>
  <c r="E475" i="2"/>
  <c r="E474" i="2"/>
  <c r="E473" i="2"/>
  <c r="E472" i="2"/>
  <c r="E471" i="2"/>
  <c r="E470" i="2"/>
  <c r="E469" i="2"/>
  <c r="E468" i="2"/>
  <c r="E467" i="2"/>
  <c r="E466" i="2"/>
  <c r="E465" i="2"/>
  <c r="E464" i="2"/>
  <c r="E463" i="2"/>
  <c r="E462" i="2"/>
  <c r="E461" i="2"/>
  <c r="E460" i="2"/>
  <c r="E459" i="2"/>
  <c r="E458" i="2"/>
  <c r="E457" i="2"/>
  <c r="E456" i="2"/>
  <c r="E455" i="2"/>
  <c r="E454" i="2"/>
  <c r="E453" i="2"/>
  <c r="E452" i="2"/>
  <c r="E451" i="2"/>
  <c r="E450" i="2"/>
  <c r="E449" i="2"/>
  <c r="E448" i="2"/>
  <c r="E447" i="2"/>
  <c r="E446" i="2"/>
  <c r="E445" i="2"/>
  <c r="E444" i="2"/>
  <c r="E443" i="2"/>
  <c r="E442" i="2"/>
  <c r="E441" i="2"/>
  <c r="E440" i="2"/>
  <c r="E439" i="2"/>
  <c r="E438" i="2"/>
  <c r="E437" i="2"/>
  <c r="E436" i="2"/>
  <c r="E435" i="2"/>
  <c r="E434" i="2"/>
  <c r="E433" i="2"/>
  <c r="E432" i="2"/>
  <c r="E431" i="2"/>
  <c r="E430" i="2"/>
  <c r="E429" i="2"/>
  <c r="E428" i="2"/>
  <c r="E427" i="2"/>
  <c r="E426" i="2"/>
  <c r="E425" i="2"/>
  <c r="E424" i="2"/>
  <c r="E423" i="2"/>
  <c r="E422" i="2"/>
  <c r="E421" i="2"/>
  <c r="E420" i="2"/>
  <c r="E419" i="2"/>
  <c r="E418" i="2"/>
  <c r="E417" i="2"/>
  <c r="E416" i="2"/>
  <c r="E415" i="2"/>
  <c r="E414" i="2"/>
  <c r="E413" i="2"/>
  <c r="E412" i="2"/>
  <c r="E411" i="2"/>
  <c r="E410" i="2"/>
  <c r="E409" i="2"/>
  <c r="E408" i="2"/>
  <c r="E407" i="2"/>
  <c r="E406" i="2"/>
  <c r="E405" i="2"/>
  <c r="E404" i="2"/>
  <c r="E403" i="2"/>
  <c r="E402" i="2"/>
  <c r="E401" i="2"/>
  <c r="E400" i="2"/>
  <c r="E399" i="2"/>
  <c r="E398" i="2"/>
  <c r="E397" i="2"/>
  <c r="E396" i="2"/>
  <c r="E395" i="2"/>
  <c r="E394" i="2"/>
  <c r="E393" i="2"/>
  <c r="E392" i="2"/>
  <c r="E391" i="2"/>
  <c r="E390" i="2"/>
  <c r="E389" i="2"/>
  <c r="E388" i="2"/>
  <c r="E387" i="2"/>
  <c r="E386" i="2"/>
  <c r="E385" i="2"/>
  <c r="E384" i="2"/>
  <c r="E383" i="2"/>
  <c r="E382" i="2"/>
  <c r="E381" i="2"/>
  <c r="E380" i="2"/>
  <c r="E379" i="2"/>
  <c r="E378" i="2"/>
  <c r="E377" i="2"/>
  <c r="E376" i="2"/>
  <c r="E375" i="2"/>
  <c r="E374" i="2"/>
  <c r="E373" i="2"/>
  <c r="E372" i="2"/>
  <c r="E371" i="2"/>
  <c r="E370" i="2"/>
  <c r="E369" i="2"/>
  <c r="E368" i="2"/>
  <c r="E367" i="2"/>
  <c r="E366" i="2"/>
  <c r="E365" i="2"/>
  <c r="E364" i="2"/>
  <c r="E363" i="2"/>
  <c r="E362" i="2"/>
  <c r="E361" i="2"/>
  <c r="E360" i="2"/>
  <c r="E359" i="2"/>
  <c r="E358" i="2"/>
  <c r="E357" i="2"/>
  <c r="E356" i="2"/>
  <c r="E355" i="2"/>
  <c r="E354" i="2"/>
  <c r="E353" i="2"/>
  <c r="E352" i="2"/>
  <c r="E351" i="2"/>
  <c r="E350" i="2"/>
  <c r="E349" i="2"/>
  <c r="E348" i="2"/>
  <c r="E347" i="2"/>
  <c r="E346" i="2"/>
  <c r="E345" i="2"/>
  <c r="E344" i="2"/>
  <c r="E343" i="2"/>
  <c r="E342" i="2"/>
  <c r="E341" i="2"/>
  <c r="E340" i="2"/>
  <c r="E339" i="2"/>
  <c r="E338" i="2"/>
  <c r="E337" i="2"/>
  <c r="E336" i="2"/>
  <c r="E335" i="2"/>
  <c r="E334" i="2"/>
  <c r="E333" i="2"/>
  <c r="E332" i="2"/>
  <c r="E331" i="2"/>
  <c r="E330" i="2"/>
  <c r="E329" i="2"/>
  <c r="E328" i="2"/>
  <c r="E327" i="2"/>
  <c r="E326" i="2"/>
  <c r="E325" i="2"/>
  <c r="E324" i="2"/>
  <c r="E323" i="2"/>
  <c r="E322" i="2"/>
  <c r="E321" i="2"/>
  <c r="E320" i="2"/>
  <c r="E319" i="2"/>
  <c r="E318" i="2"/>
  <c r="E317" i="2"/>
  <c r="E316" i="2"/>
  <c r="E315" i="2"/>
  <c r="E314" i="2"/>
  <c r="E313" i="2"/>
  <c r="E312" i="2"/>
  <c r="E311" i="2"/>
  <c r="E310" i="2"/>
  <c r="E309" i="2"/>
  <c r="E308" i="2"/>
  <c r="E307" i="2"/>
  <c r="E306" i="2"/>
  <c r="E305" i="2"/>
  <c r="E304" i="2"/>
  <c r="E303" i="2"/>
  <c r="E302" i="2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E275" i="2"/>
  <c r="E274" i="2"/>
  <c r="E273" i="2"/>
  <c r="E272" i="2"/>
  <c r="E271" i="2"/>
  <c r="E270" i="2"/>
  <c r="E269" i="2"/>
  <c r="E268" i="2"/>
  <c r="E267" i="2"/>
  <c r="E266" i="2"/>
  <c r="E265" i="2"/>
  <c r="E264" i="2"/>
  <c r="E263" i="2"/>
  <c r="E262" i="2"/>
  <c r="E261" i="2"/>
  <c r="E260" i="2"/>
  <c r="E259" i="2"/>
  <c r="E258" i="2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4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</calcChain>
</file>

<file path=xl/sharedStrings.xml><?xml version="1.0" encoding="utf-8"?>
<sst xmlns="http://schemas.openxmlformats.org/spreadsheetml/2006/main" count="1270" uniqueCount="1000">
  <si>
    <t>CASA HOSPITAL SAN JUAN DE DIOS</t>
  </si>
  <si>
    <r>
      <t>PACIENTE</t>
    </r>
    <r>
      <rPr>
        <b/>
        <vertAlign val="superscript"/>
        <sz val="16"/>
        <color rgb="FF000000"/>
        <rFont val="Verdana"/>
        <family val="2"/>
      </rPr>
      <t>(*)</t>
    </r>
    <r>
      <rPr>
        <b/>
        <sz val="16"/>
        <color rgb="FF000000"/>
        <rFont val="Verdana"/>
        <family val="2"/>
      </rPr>
      <t>:</t>
    </r>
  </si>
  <si>
    <r>
      <t>DNI</t>
    </r>
    <r>
      <rPr>
        <b/>
        <vertAlign val="superscript"/>
        <sz val="14"/>
        <color rgb="FF000000"/>
        <rFont val="Verdana"/>
        <family val="2"/>
      </rPr>
      <t>(*)</t>
    </r>
    <r>
      <rPr>
        <b/>
        <sz val="16"/>
        <color rgb="FF000000"/>
        <rFont val="Verdana"/>
        <family val="2"/>
      </rPr>
      <t>:</t>
    </r>
  </si>
  <si>
    <r>
      <t xml:space="preserve">INDICACIONES MÉDICAS  </t>
    </r>
    <r>
      <rPr>
        <b/>
        <u/>
        <sz val="18"/>
        <color rgb="FF000000"/>
        <rFont val="Verdana"/>
        <family val="2"/>
      </rPr>
      <t xml:space="preserve"> </t>
    </r>
  </si>
  <si>
    <t>ALIMENTACION</t>
  </si>
  <si>
    <t xml:space="preserve">DIAGNOSTICO:  </t>
  </si>
  <si>
    <r>
      <rPr>
        <b/>
        <sz val="16"/>
        <color rgb="FF000000"/>
        <rFont val="Verdana"/>
        <family val="2"/>
      </rPr>
      <t>NUMERO DE PACIENTE</t>
    </r>
    <r>
      <rPr>
        <b/>
        <vertAlign val="superscript"/>
        <sz val="16"/>
        <color rgb="FF000000"/>
        <rFont val="Verdana"/>
        <family val="2"/>
      </rPr>
      <t>(*):</t>
    </r>
  </si>
  <si>
    <t>FECHA:</t>
  </si>
  <si>
    <t>HORA:</t>
  </si>
  <si>
    <r>
      <t>CAMA</t>
    </r>
    <r>
      <rPr>
        <b/>
        <vertAlign val="superscript"/>
        <sz val="16"/>
        <color rgb="FF000000"/>
        <rFont val="Verdana"/>
        <family val="2"/>
      </rPr>
      <t>(*)</t>
    </r>
    <r>
      <rPr>
        <b/>
        <sz val="16"/>
        <color rgb="FF000000"/>
        <rFont val="Verdana"/>
        <family val="2"/>
      </rPr>
      <t>:</t>
    </r>
  </si>
  <si>
    <t>INDICACIÓN</t>
  </si>
  <si>
    <t>DOSIS</t>
  </si>
  <si>
    <t>VIA</t>
  </si>
  <si>
    <t>OBSERVACIÓN</t>
  </si>
  <si>
    <t>POSOLOGIA</t>
  </si>
  <si>
    <t>FARMACIA</t>
  </si>
  <si>
    <t>INDICACIONES LIBRES</t>
  </si>
  <si>
    <t>OBSERVACIONES</t>
  </si>
  <si>
    <t>MEDICACIÓN DEL PACIENTE</t>
  </si>
  <si>
    <t>PLAN DE HIDRATACION</t>
  </si>
  <si>
    <t>CONTROLES</t>
  </si>
  <si>
    <t>Firma del médico</t>
  </si>
  <si>
    <t>FIRMA ENFERMERÍA</t>
  </si>
  <si>
    <t>X</t>
  </si>
  <si>
    <t>DIETA</t>
  </si>
  <si>
    <t>BEBIDA</t>
  </si>
  <si>
    <t>TIPO DE DIETA</t>
  </si>
  <si>
    <t>DIABETICO</t>
  </si>
  <si>
    <t>SI</t>
  </si>
  <si>
    <t>NO</t>
  </si>
  <si>
    <t>CALORIAS</t>
  </si>
  <si>
    <t>NORMAL</t>
  </si>
  <si>
    <t>AGUA</t>
  </si>
  <si>
    <t>NORMOSODICA</t>
  </si>
  <si>
    <t>INSULINODEPENDIENTE</t>
  </si>
  <si>
    <t>POSTOPERATORIO 1</t>
  </si>
  <si>
    <t>JUGO</t>
  </si>
  <si>
    <t>HIPOSODICA</t>
  </si>
  <si>
    <t>LEVE</t>
  </si>
  <si>
    <t>MODERADA</t>
  </si>
  <si>
    <t>SEVERA</t>
  </si>
  <si>
    <t>NO INSULINODEPENDIENTE</t>
  </si>
  <si>
    <t>POSTOPERATORIO 2</t>
  </si>
  <si>
    <t>SOPA</t>
  </si>
  <si>
    <t>POSTOPERATORIO 3</t>
  </si>
  <si>
    <t>ADECUADA GASTRICA 1</t>
  </si>
  <si>
    <t>ADECUADA GASTRICA 2</t>
  </si>
  <si>
    <t>ADECUADA GASTRICA 3</t>
  </si>
  <si>
    <t>ADECUADA INTESTINAL</t>
  </si>
  <si>
    <t>ADECUADA INTESTINAL ASTRINGENTE</t>
  </si>
  <si>
    <t>HIPOGRASA</t>
  </si>
  <si>
    <t>HIPROTEICA - PARA RENALES</t>
  </si>
  <si>
    <t>PARA HIPERTENSIÓN ARTERIAL</t>
  </si>
  <si>
    <t>PARA INSUFICIENCIA CARDÍACA</t>
  </si>
  <si>
    <t>PRESCRIPCIONES ESPECIALES</t>
  </si>
  <si>
    <t>SEMISÓLIDA</t>
  </si>
  <si>
    <t>NEUTROPENICO FEBRIL</t>
  </si>
  <si>
    <t>NADA POR BOCA</t>
  </si>
  <si>
    <t>PARA DIABÉTICOS</t>
  </si>
  <si>
    <t>HIPERPROTEICA</t>
  </si>
  <si>
    <t>LECHE MATERNIZADA A LIBRE DEMANDA</t>
  </si>
  <si>
    <t>PECHO A LIBRE DEMANDA</t>
  </si>
  <si>
    <t>AYUNO</t>
  </si>
  <si>
    <t>PARA CELÍACOS</t>
  </si>
  <si>
    <t>PARA ANTICOAGULADOS</t>
  </si>
  <si>
    <t>PLAN</t>
  </si>
  <si>
    <t>GOTAS X MIN.</t>
  </si>
  <si>
    <t>GOTEO</t>
  </si>
  <si>
    <t>SOLUCION</t>
  </si>
  <si>
    <t>CANTIDAD SOL.</t>
  </si>
  <si>
    <t>MEDICACION</t>
  </si>
  <si>
    <t>CANTIDAD MED.</t>
  </si>
  <si>
    <t>1238604 - ACICLOVIR 500 MG FCO-AMP</t>
  </si>
  <si>
    <t>230503 - ACIDO AMINOCAPROICO 2 G X 10 ML AMP</t>
  </si>
  <si>
    <t>2062105 - ACIDO TRANEXAMICO 500 MG X 5 ML AMP</t>
  </si>
  <si>
    <t>1055001 - ADENOSINA 3 MG/ML X 2 ML AMPOLLA</t>
  </si>
  <si>
    <t>552701 - ADRENALINA 1 MG/ML AMP</t>
  </si>
  <si>
    <t>2558901 - ALBUMINA HUMANA AL 20% X 50 ML FCO-AMP</t>
  </si>
  <si>
    <t>2046301 - ALPROSTADIL 500 MCG/ML  AMP</t>
  </si>
  <si>
    <t>4402 - ALTEPASA 50 MG FCO-AMP</t>
  </si>
  <si>
    <t>882001 - AMIKACINA 500 MG AMP</t>
  </si>
  <si>
    <t>167404 - AMINOFILINA 240 MG X 10 ML AMP</t>
  </si>
  <si>
    <t>552302 - AMIODARONA 150 MG X 3 ML AMP</t>
  </si>
  <si>
    <t>1325001 - AMPICILINA  1000 MG FCO-AMP</t>
  </si>
  <si>
    <t>910502 - AMPICILINA + SULBACTAM 1.5 G FCO-AMP</t>
  </si>
  <si>
    <t>445308 - AMPICILINA 500 MG COMP</t>
  </si>
  <si>
    <t>1115401 - ANFOTERICINA B 50 MG FCO-AMP</t>
  </si>
  <si>
    <t>617901 - ANFOTERICINA B LIPOSOMAL 50 MG FCO-AMP</t>
  </si>
  <si>
    <t>1992101 - ANIDULAFUNGINA 100 MG AMP</t>
  </si>
  <si>
    <t>897701 - ATRACURIO 50 MG AMP</t>
  </si>
  <si>
    <t>42101 - ATROPINA 1/1000 AMP</t>
  </si>
  <si>
    <t>1254601 - AZTREONAM 1 G FRASCO AMPOLLA X 1 HSJD</t>
  </si>
  <si>
    <t>1008502 - BETAMETASONA ACETATO + FOSFATO FCO-AMP</t>
  </si>
  <si>
    <t>809602 - BUPIVACAINA 0.5 % X 20 ML FCO-AMP</t>
  </si>
  <si>
    <t>1171502 - BUPIVACAINA 0.50% HIPERBARICA x 4 ML AMP</t>
  </si>
  <si>
    <t>552601 - CAFEINA 250 MG /ML AMP</t>
  </si>
  <si>
    <t>1286801 - CARBETOCIN 100 MCG AMPOLLA</t>
  </si>
  <si>
    <t>746903 - CEFAZOLINA 1 GR FCO.AMP.</t>
  </si>
  <si>
    <t>1397203 - CEFEPIME 1 G FCO-AMP</t>
  </si>
  <si>
    <t>695205 - CEFTAZIDIMA 1000 MG FCO-AMP</t>
  </si>
  <si>
    <t>695305 - CEFTRIAXONA 1 G FCO-AMP</t>
  </si>
  <si>
    <t>503901 - CIPROFLOXACINA 200 MG /100 ML AMP</t>
  </si>
  <si>
    <t>1104505 - CLARITROMICINA 500 MG FCO-AMP</t>
  </si>
  <si>
    <t>2056101 - CLINDAMICINA 600 MG AMP</t>
  </si>
  <si>
    <t>1391001 - CLONIDINA 0.150 MG/ML AMPOLLA</t>
  </si>
  <si>
    <t>991603 - CLONIXINATO DE LISINA 200 MG/4ML AMPOLLA</t>
  </si>
  <si>
    <t>574102 - CLORANFENICOL 1 G FCO-AMP</t>
  </si>
  <si>
    <t>789003 - CLORPROMAZINA 25 MG AMP IM</t>
  </si>
  <si>
    <t>789004 - CLORPROMAZINA 50 MG  AMP EV</t>
  </si>
  <si>
    <t>96303 - CLORURO DE CALCIO 10% X 10 ML AMP</t>
  </si>
  <si>
    <t>96507 - CLORURO DE POTASIO 15 mEq/5ML AMP</t>
  </si>
  <si>
    <t>1824201 - COLISTINA 100 MG FCO-AMP</t>
  </si>
  <si>
    <t>47302 - COMPLEJO B IM AMP ( BAGO B1 B6 B12)</t>
  </si>
  <si>
    <t>1187701 - COMPLEJO B IV AMP (BECOZYM)</t>
  </si>
  <si>
    <t>581001 - COMPLEJO MULTIV FCO-AMP</t>
  </si>
  <si>
    <t>2785201 - DAPTOMICINA 500 MG AMPOLLAS</t>
  </si>
  <si>
    <t>2911101 - DANTROLENE FCO-AMP</t>
  </si>
  <si>
    <t>124005 - DESMOPRESINA 4 MCG AMP</t>
  </si>
  <si>
    <t>447901 - DEXAMETASONA 8 MG/2ML AMP</t>
  </si>
  <si>
    <t>2547501 - DEXMEDETOMIDINA 100 MCG FCO-AMP</t>
  </si>
  <si>
    <t>129604 - DIAZEPAM 10 MG AMP</t>
  </si>
  <si>
    <t>1086402 - DICLO + BETAM + VIT B12 AMP</t>
  </si>
  <si>
    <t>1054305 - DICLOFENAC + PIRIDINOL AMP</t>
  </si>
  <si>
    <t>852606 - DICLOFENAC 75 MG  AMP</t>
  </si>
  <si>
    <t xml:space="preserve">1252602 - DIFENHIDRAMINA 10 MG/ML AMPOLLA  </t>
  </si>
  <si>
    <t>1252602 - DIFENHIDRAMINA 100 MG/10 ML FCO-AMP</t>
  </si>
  <si>
    <t>1098401 - DIGOXINA 0.25 MG/ML AMP</t>
  </si>
  <si>
    <t>1101 - DILTIAZEM 25 MG FCO-AMP</t>
  </si>
  <si>
    <t>135510 - DIPIRONA 1 G/2ML  AMPOLLA</t>
  </si>
  <si>
    <t>1125402 - DOBUTAMINA 250 MG FCO-AMP</t>
  </si>
  <si>
    <t>270904 - DOPAMINA 200 MG/ML X 5 ML AMP</t>
  </si>
  <si>
    <t>576201 - ERGONOVINA 0,2 MG AMP</t>
  </si>
  <si>
    <t>208704 - ERITROPOYETINA 10000 UI FCO-AMP</t>
  </si>
  <si>
    <t>208701 - ERITROPOYETINA 2000 UI FCO-AMP</t>
  </si>
  <si>
    <t>1382307 - ERITROPOYETINA 4000 UI FCO-AMP</t>
  </si>
  <si>
    <t>1481101 - ERTAPENEM 1 G FCO-AMP</t>
  </si>
  <si>
    <t>2469801 - ESTREPTOMICINA 1 G FCO-AMP</t>
  </si>
  <si>
    <t>2269001 - ESTREPTOQUINASA 1500000 UI FCO-AMP</t>
  </si>
  <si>
    <t>829301 - ETILEFRINA 10 MG AMP</t>
  </si>
  <si>
    <t>2598101 - ETOMIDATO 2 MG AMP</t>
  </si>
  <si>
    <t>1794203 - FENITOINA 100 MG AMPOLLA</t>
  </si>
  <si>
    <t>1326307 - FENOBARBITAL 100 MG/ 2ML AMP</t>
  </si>
  <si>
    <t>1468802 - FENTANILO  0,05 MG/ML AMPOLLA</t>
  </si>
  <si>
    <t>2493401 - FILGASTRIM 30 MUI FCO-AMP</t>
  </si>
  <si>
    <t>301604 - FLOROGLUCINOL + TRIMETOXIBENCENO AMP</t>
  </si>
  <si>
    <t>1121204 - FLUMAZENIL 0,5 MG/ 5ML AMP</t>
  </si>
  <si>
    <t>6310 - FOSFATO DE POTASIO 3 MMOL/ML X 10 ML AMP</t>
  </si>
  <si>
    <t>1418201 - FUROSEMIDA 20 MG AMP</t>
  </si>
  <si>
    <t>194906 - GENTAMICINA 20 MG AMPOLLA</t>
  </si>
  <si>
    <t>195806 - GENTAMICINA 80 MG AMPOLLA</t>
  </si>
  <si>
    <t>2904901 - GLUCONATO DE CALCIO x 10 ML AMP</t>
  </si>
  <si>
    <t>405713 - GLUCOSADO HIPERTONICO 25 % X 10 ML AMP</t>
  </si>
  <si>
    <t>206917 - HALOPERIDOL 5 MG/ML AMPOLLA IV</t>
  </si>
  <si>
    <t>497401 - HEPARINA SODICA 5000UI/ML X 5 ML FCO-AMP</t>
  </si>
  <si>
    <t>1032801 - HIDROCORTISONA 100 MG  FCO-AMP</t>
  </si>
  <si>
    <t>1032802 - HIDROCORTISONA 500 MG  FCO-AMP</t>
  </si>
  <si>
    <t>475202 - HIERRO AC FOLICO VIT B12 AMP</t>
  </si>
  <si>
    <t>475101 - HIERRO DEXTRANO 5% AMP</t>
  </si>
  <si>
    <t>1952001 - HIERRO SACARATO 100 MG/ 5ML AMP</t>
  </si>
  <si>
    <t>580508 - HIOSCINA + DIPIRONA X 5 ML AMP</t>
  </si>
  <si>
    <t>581803 - HIOSCINA 20 MG/ML AMP</t>
  </si>
  <si>
    <t>2790901 - IBUPROFENO AMP</t>
  </si>
  <si>
    <t>1761803 - IMIPENEM 500 MG FCO-AMP</t>
  </si>
  <si>
    <t>2144602-2246102 - INMUNOGLOBULINA HUMANA 10 G FCO-AMP</t>
  </si>
  <si>
    <t>1885501 - INSULINA HUMANA CTE 100UI/ML  FCO-AMP X 5 ML</t>
  </si>
  <si>
    <t>1885401 - INSULINA HUMANA NPH 100UI/ML  FCO-AMP X 5 ML</t>
  </si>
  <si>
    <t>1128601 - IOVERSOL 350 X 50 ML FRASCO AMPOLLA</t>
  </si>
  <si>
    <t>810101 - ISOPROTERENOL 1 MG/5 ML AMP.</t>
  </si>
  <si>
    <t>624704 - ISOXUPRINA 10 MG/2ML AMPOLLA</t>
  </si>
  <si>
    <t>139505 - KETOROLAC 30 MG AMP</t>
  </si>
  <si>
    <t>1372902 - LABETALOL 5 MG/ML X 4 ML AMP</t>
  </si>
  <si>
    <t>2029105 - LEVETIRACETAM 100 MG FRASCO AMPOLLA</t>
  </si>
  <si>
    <t>1638001 - LEVOFLOXACINA  500 MG/ 100 ML AMP</t>
  </si>
  <si>
    <t>2827901 - LEVOMEPROMAZINA 25 MG/ML AMP</t>
  </si>
  <si>
    <t>1799801 - LEVOTIROXINA 200 MCG AMP</t>
  </si>
  <si>
    <t>2790501 - LIDOCAINA 2% C/E X 20 ML FCO-AMP</t>
  </si>
  <si>
    <t>1121311 - LIDOCAINA 2% S/E X 20 ML FCO-AMP</t>
  </si>
  <si>
    <t>1121310 - LIDOCAINA 2% X 5 ML AMP</t>
  </si>
  <si>
    <t>1260501 - LINEZOLID 600 MG/ 300ML AMP</t>
  </si>
  <si>
    <t>261607 - LORAZEPAM  4 MG AMP</t>
  </si>
  <si>
    <t>1698605 - MEROPENEM 500 MG FCO-AMP</t>
  </si>
  <si>
    <t>1394301 - METARAMINOL AMP</t>
  </si>
  <si>
    <t>1957501 - METILPREDNISOLONA  500  MG FCO-AMP</t>
  </si>
  <si>
    <t>1787202 - METOCLOPRAMIDA  10 MG/2 ML AMP</t>
  </si>
  <si>
    <t>277301 - METRONIDAZOL 500 MG AMP</t>
  </si>
  <si>
    <t>531301 - METROTEXATO 50 MG AMP X 1 GENERICO</t>
  </si>
  <si>
    <t>2765701 - MIDAZOLAM 15 MG /3ML AMPOLLA</t>
  </si>
  <si>
    <t>2237101 - MILRINONA 10 MG FCO-AMP</t>
  </si>
  <si>
    <t>2778401 - MORFINA 10 MG / ML AMP</t>
  </si>
  <si>
    <t>1554602 - NALBUFINA 10 MG/ML AMP</t>
  </si>
  <si>
    <t>1361001 - NALOXONA 0.4 MG/ML AMP</t>
  </si>
  <si>
    <t>1546204 - NEOSTIGMINA 0,5 MG AMP</t>
  </si>
  <si>
    <t>524503 - NITROGLICERINA 25 MG/ 5ML AMP</t>
  </si>
  <si>
    <t>307302 - NITROPRUSIATO 50 MG FCO-AMP</t>
  </si>
  <si>
    <t>552701 - NORADRENALINA 1 MG/ML AMP.</t>
  </si>
  <si>
    <t>318201 - OCITOCINA 5 UI/ML  AMP</t>
  </si>
  <si>
    <t>2349101 - OCTREOTIDE 0.10 MG AMP</t>
  </si>
  <si>
    <t>1338401 - OMEPRAZOL 40 MG FCO-AMP</t>
  </si>
  <si>
    <t>659504 - ONDANSETRON 8 MG AMP</t>
  </si>
  <si>
    <t>1603702 - PAMIDRONATO 90 MG FCO-AMP</t>
  </si>
  <si>
    <t>51901 - PANCURONIO 4 MG AMP</t>
  </si>
  <si>
    <t>2497501 - PARACETAMOL 1000 MG AMPOLLA X 100 ML</t>
  </si>
  <si>
    <t>337502 - PENICILINA BENZATINICA 2400000 UI FCO-AMP</t>
  </si>
  <si>
    <t>935407 - PENICILINA G SODICA 3000000 UI FCO-AMP</t>
  </si>
  <si>
    <t>1324803 - PIPERACILINA + TAZOBACTAM 4,5 G FCO-AMP</t>
  </si>
  <si>
    <t>8104 - POLIDOCANOL 2% AMPOLLA</t>
  </si>
  <si>
    <t>167306 - PROCAINA 50 %  x 10 ML AMP</t>
  </si>
  <si>
    <t>171304 - PROMETAZINA 50 MG/2ML AMP</t>
  </si>
  <si>
    <t>2911901 - PROPANOLOL 5 MG AMP</t>
  </si>
  <si>
    <t>1390001 - PROPOFOL 10 MG/ML X 20 ML AMP</t>
  </si>
  <si>
    <t>1039802 - PROTAMINA SULFATO 50 MG AMPOLLA</t>
  </si>
  <si>
    <t>1403401 - PROTROMBINA COMPLEJO FCO-AMP</t>
  </si>
  <si>
    <t>1327504 - RANITIDINA 50 MG AMP</t>
  </si>
  <si>
    <t>2076801 - REMIFENTANILO 5 MG FCO-AMP</t>
  </si>
  <si>
    <t>2155301 - RIFAMPICINA 300 MG CAP</t>
  </si>
  <si>
    <t>2476201 - RIFAMPICINA 600 MG FCO AMP</t>
  </si>
  <si>
    <t>2290901 - ROCURONIO 50 MG AMP</t>
  </si>
  <si>
    <t>403903 - SOLUCION FISIOLOGICA X 5 ML AMP</t>
  </si>
  <si>
    <t>810701 - SUCCINILCOLINA 100 MG AMP</t>
  </si>
  <si>
    <t>1418101 - SULFATO DE MAGNESIO 25% X 5 ML AMP</t>
  </si>
  <si>
    <t>509102 - SURFACTANTE X 4 ML FCO-AMP</t>
  </si>
  <si>
    <t>509101 - SURFACTANTE X 8 ML FCO-AMP</t>
  </si>
  <si>
    <t>1254902 - TEICOPLANINA 400 MG FCO-AMP</t>
  </si>
  <si>
    <t>1903402 - TERLIPRESINA 1 MG FCO-AMP</t>
  </si>
  <si>
    <t>1764201 - TIGECICLINA 50 MG FCO AMP</t>
  </si>
  <si>
    <t>2461602 - TIROFIBAN CLORHIDRATO 0,25MG/ML AMPOLLA</t>
  </si>
  <si>
    <t>73905 - TRAMADOL 50 MG AMP</t>
  </si>
  <si>
    <t>699601 - TRIMETOPRIMA 80 MG + SULFAMETOXAZOL 400 MG AMP</t>
  </si>
  <si>
    <t>284601 - VACUNA TRIPLE VIRAL - Parotiditis/Rubéola/Sarampión</t>
  </si>
  <si>
    <t>734103 - VANCOMICINA 500 MG FCO AMP</t>
  </si>
  <si>
    <t>2079201 - VASOPRESINA 20UI AMPOLLA X 1 GENERICO</t>
  </si>
  <si>
    <t>1345802 - VECURONIO 10 MG FCO-AMP X 10ML</t>
  </si>
  <si>
    <t>1122201 - VITAMINA K 1 MG AMP IM/SC</t>
  </si>
  <si>
    <t>746502 - VITAMINA K 10 MG AMP EV/ORAL</t>
  </si>
  <si>
    <t>470203 - VITAMINA K 10 MG AMP IM</t>
  </si>
  <si>
    <t>1542503 - VORICONAZOL 200 MG AMP</t>
  </si>
  <si>
    <t>1056801 - ZIDOVUDINA 200 MG FCO-AMP</t>
  </si>
  <si>
    <t>ANALGESIA</t>
  </si>
  <si>
    <t xml:space="preserve">PHP PARALELO - VIA PERIFERICA - 21 </t>
  </si>
  <si>
    <t>DESCRIPCIÓN</t>
  </si>
  <si>
    <t>TEMPERATURA</t>
  </si>
  <si>
    <t>PRESION ARTERIAL</t>
  </si>
  <si>
    <t>FRECUENCIA CARDÍACA</t>
  </si>
  <si>
    <t>FRECUENCIA RESPIRATORIA</t>
  </si>
  <si>
    <t>MEDICION DEL DOLOR</t>
  </si>
  <si>
    <t>DIURESIS</t>
  </si>
  <si>
    <t>CATARSIS</t>
  </si>
  <si>
    <t>PRESION VENOSA CENTRAL</t>
  </si>
  <si>
    <t>HEMOGLUCOTEST</t>
  </si>
  <si>
    <t>CONTROL DE DRENAJES</t>
  </si>
  <si>
    <t>CONTROL DE PH</t>
  </si>
  <si>
    <t>CONTROL DE PESO</t>
  </si>
  <si>
    <t>SATUROMETRÍA</t>
  </si>
  <si>
    <t>OXIMETRÍA DE PULSO</t>
  </si>
  <si>
    <t>DIOXIDO</t>
  </si>
  <si>
    <t>MULTIFIX DE ORINA</t>
  </si>
  <si>
    <t>TEMP. + PRESION ART. + FREC. CARD. + FREC. RESP.</t>
  </si>
  <si>
    <t>CODIGO</t>
  </si>
  <si>
    <t>COD APS</t>
  </si>
  <si>
    <t>DESCRIPCION</t>
  </si>
  <si>
    <t>ACICLOVIR 500 MG FCO-AMP</t>
  </si>
  <si>
    <t>PHP</t>
  </si>
  <si>
    <t>VIA CENTRAL</t>
  </si>
  <si>
    <t>GOTAS/min</t>
  </si>
  <si>
    <t xml:space="preserve">AGUA SOLUCION P/INYECCION X 500 ML. 556 A SACHET      </t>
  </si>
  <si>
    <t> 2734901</t>
  </si>
  <si>
    <t>SOLUCION BICARBONATO 1 MOLAR</t>
  </si>
  <si>
    <t>ACIDO AMINOCAPROICO 2 G X 10 ML AMP</t>
  </si>
  <si>
    <t>PHP ALTERNADO</t>
  </si>
  <si>
    <t>VIA PERIFERICA</t>
  </si>
  <si>
    <t>MICROGOTAS/min</t>
  </si>
  <si>
    <t>AGUA DESTILADA SOLUCION PARENTERAL SACHET 3000 ML</t>
  </si>
  <si>
    <t>SOLUCION FISIOLOGICA X 500 ML</t>
  </si>
  <si>
    <t>ACIDO TRANEXAMICO 500 MG X 5 ML AMP</t>
  </si>
  <si>
    <t>PHP PARALELO</t>
  </si>
  <si>
    <t>VIA SUBCUTANEA</t>
  </si>
  <si>
    <t>MILILITROS/hs</t>
  </si>
  <si>
    <t>SOLUCION DE DEXTROSA 25 % 500 ML SACHET</t>
  </si>
  <si>
    <t>SOLUCION DEXT 10 % X 500 ML</t>
  </si>
  <si>
    <t>ADENOSINA 3 MG/ML X 2 ML AMPOLLA</t>
  </si>
  <si>
    <t>VIA INTRAOSEA</t>
  </si>
  <si>
    <t>A REGULAR</t>
  </si>
  <si>
    <t>SOLUCION DE DEXTROSA 50 % 500 ML SACHET</t>
  </si>
  <si>
    <t>SOLUCION FISIO X 250 ML</t>
  </si>
  <si>
    <t>ADRENALINA 1 MG/ML AMP</t>
  </si>
  <si>
    <t>SOLUCION DE MANITOL 15% SACHET 500 ML</t>
  </si>
  <si>
    <t>SOLUCION FISIOLOGICA X 1000 ML</t>
  </si>
  <si>
    <t>ALBUMINA HUMANA AL 20% X 50 ML FCO-AMP</t>
  </si>
  <si>
    <t>SOLUCION GLUCOSADO HIPERTONICA 25% AMPOLLA</t>
  </si>
  <si>
    <t>SOLUCION FISIOLOGICA X 5 ML AMP</t>
  </si>
  <si>
    <t>ALPROSTADIL 500 MCG/ML  AMP</t>
  </si>
  <si>
    <t>SOLUCION MOLAR DE BICARBONATO DE SODIO INYECTABLE</t>
  </si>
  <si>
    <t xml:space="preserve"> SOLUCION Cloruro de Sodio x 2000ml</t>
  </si>
  <si>
    <t>ALTEPASA 50 MG FCO-AMP</t>
  </si>
  <si>
    <t xml:space="preserve">SOLUCION PARENT. FIDEX 100 ML MOLAR CLOR. POT. SACHET </t>
  </si>
  <si>
    <t>SOLUCION DE MANITOL</t>
  </si>
  <si>
    <t>AMIKACINA 500 MG AMP</t>
  </si>
  <si>
    <t xml:space="preserve">SOLUCION PARENT. FLEX. CLOR DE SODIO 0.9 % X 100 ML-BAXTER SACHET    </t>
  </si>
  <si>
    <t>SOLUCION DEXTROSA AL 5 EN AGUA X250</t>
  </si>
  <si>
    <t>AMINOFILINA 240 MG X 10 ML AMP</t>
  </si>
  <si>
    <t xml:space="preserve">SOLUCION PARENT. FLEX. CLOR DE SODIO 0.9 % X 250 ML- BAXTER SACHET </t>
  </si>
  <si>
    <t>SOLUCION DEXTROSA AL 5 EN AGUA X 500</t>
  </si>
  <si>
    <t>AMIODARONA 150 MG X 3 ML AMP</t>
  </si>
  <si>
    <t xml:space="preserve">SOLUCION PARENT. FLEX. CLOR DE SODIO 0.9% X 500 ML-BAXTER SACHET </t>
  </si>
  <si>
    <t>SOLUCION DEX AL 25 %</t>
  </si>
  <si>
    <t>AMPICILINA  1000 MG FCO-AMP</t>
  </si>
  <si>
    <t xml:space="preserve">SOLUCION PARENT. FLEX. DEXT. 5% EN SOL FISIOL. X 500 ML- BAXTER SACHET </t>
  </si>
  <si>
    <t>SOLUCION DEX AL 50%</t>
  </si>
  <si>
    <t>AMPICILINA + SULBACTAM 1.5 G FCO-AMP</t>
  </si>
  <si>
    <t xml:space="preserve">SOLUCION PARENT. FLEX. DEXT. EN AGUA AL 5 % X 100 ML- BAXTER SACHET </t>
  </si>
  <si>
    <t>SOLUCION DEX X 100 ML</t>
  </si>
  <si>
    <t>AMPICILINA 500 MG COMP</t>
  </si>
  <si>
    <t xml:space="preserve">SOLUCION PARENT. FLEX. DEXT. EN AGUA AL 5% X 250 ML-BAXTER SACHET </t>
  </si>
  <si>
    <t>SOLUCION DEXT X 500 ML</t>
  </si>
  <si>
    <t>ANFOTERICINA B 50 MG FCO-AMP</t>
  </si>
  <si>
    <t xml:space="preserve">SOLUCION PARENT. FLEX. DEXT. EN AGUA AL 5% X 500 ML-BAXTER SACHET </t>
  </si>
  <si>
    <t>SOLUCION RINGER X 500 ML</t>
  </si>
  <si>
    <t>ANFOTERICINA B LIPOSOMAL 50 MG FCO-AMP</t>
  </si>
  <si>
    <t xml:space="preserve">SOLUCION PARENT. FLEX. DEXT.EN AGUA AL 10% X 500 ML-BAXTER SACHET </t>
  </si>
  <si>
    <t>ANIDULAFUNGINA 100 MG AMP</t>
  </si>
  <si>
    <t xml:space="preserve">SOLUCION PARENT. FLEX.CLOR DE SODIO 0.9% X 1000 ML-BAXTER SACHET  </t>
  </si>
  <si>
    <t>ATRACURIO 50 MG AMP</t>
  </si>
  <si>
    <t>SOLUCION PARENTERAL RINGER LACTATO SOLUCION</t>
  </si>
  <si>
    <t>ATROPINA 1/1000 AMP</t>
  </si>
  <si>
    <t>SOLUCION DEXTROSA AL 5% EN AGUA 250 ML</t>
  </si>
  <si>
    <t>AZTREONAM 1 G FRASCO AMPOLLA X 1 HSJD</t>
  </si>
  <si>
    <t>SOLUCION DEXTROSA AL 5% EN FISIO 500 ML</t>
  </si>
  <si>
    <t>BETAMETASONA ACETATO + FOSFATO FCO-AMP</t>
  </si>
  <si>
    <t>SOLUCION CLORURO DE SODIO X 2000 ML</t>
  </si>
  <si>
    <t>BUPIVACAINA 0.5 % X 20 ML FCO-AMP</t>
  </si>
  <si>
    <t>BUPIVACAINA 0.50% HIPERBARICA x 4 ML AMP</t>
  </si>
  <si>
    <t>CAFEINA 250 MG /ML AMP</t>
  </si>
  <si>
    <t>CARBETOCIN 100 MCG AMPOLLA</t>
  </si>
  <si>
    <t>CEFAZOLINA 1 GR FCO.AMP.</t>
  </si>
  <si>
    <t>CEFEPIME 1 G FCO-AMP</t>
  </si>
  <si>
    <t>CEFTAZIDIMA 1000 MG FCO-AMP</t>
  </si>
  <si>
    <t>CEFTRIAXONA 1 G FCO-AMP</t>
  </si>
  <si>
    <t>CIPROFLOXACINA 200 MG /100 ML AMP</t>
  </si>
  <si>
    <t>CLARITROMICINA 500 MG FCO-AMP</t>
  </si>
  <si>
    <t>CLINDAMICINA 600 MG AMP</t>
  </si>
  <si>
    <t>CLONIDINA 0.150 MG/ML AMPOLLA</t>
  </si>
  <si>
    <t>CLONIXINATO DE LISINA 200 MG/4ML AMPOLLA</t>
  </si>
  <si>
    <t>CLORANFENICOL 1 G FCO-AMP</t>
  </si>
  <si>
    <t>CLORPROMAZINA 25 MG AMP IM</t>
  </si>
  <si>
    <t>CLORPROMAZINA 50 MG  AMP EV</t>
  </si>
  <si>
    <t>CLORURO DE CALCIO 10% X 10 ML AMP</t>
  </si>
  <si>
    <t>CLORURO DE POTASIO 15 mEq/5ML AMP</t>
  </si>
  <si>
    <t>COLISTINA 100 MG FCO-AMP</t>
  </si>
  <si>
    <t>COMPLEJO B IM AMP ( BAGO B1 B6 B12)</t>
  </si>
  <si>
    <t>COMPLEJO B IV AMP (BECOZYM)</t>
  </si>
  <si>
    <t>COMPLEJO MULTIV FCO-AMP</t>
  </si>
  <si>
    <t>DAPTOMICINA 500 MG AMPOLLAS</t>
  </si>
  <si>
    <t>DANTROLENE FCO-AMP</t>
  </si>
  <si>
    <t>DESMOPRESINA 4 MCG AMP</t>
  </si>
  <si>
    <t>DEXAMETASONA 8 MG/2ML AMP</t>
  </si>
  <si>
    <t>DEXMEDETOMIDINA 100 MCG FCO-AMP</t>
  </si>
  <si>
    <t>DIAZEPAM 10 MG AMP</t>
  </si>
  <si>
    <t>DICLO + BETAM + VIT B12 AMP</t>
  </si>
  <si>
    <t>DICLOFENAC + PIRIDINOL AMP</t>
  </si>
  <si>
    <t>DICLOFENAC 75 MG  AMP</t>
  </si>
  <si>
    <t xml:space="preserve">DIFENHIDRAMINA 10 MG/ML AMPOLLA  </t>
  </si>
  <si>
    <t>DIFENHIDRAMINA 100 MG/10 ML FCO-AMP</t>
  </si>
  <si>
    <t>DIGOXINA 0.25 MG/ML AMP</t>
  </si>
  <si>
    <t>DILTIAZEM 25 MG FCO-AMP</t>
  </si>
  <si>
    <t>DIPIRONA 1 G/2ML  AMPOLLA</t>
  </si>
  <si>
    <t>DOBUTAMINA 250 MG FCO-AMP</t>
  </si>
  <si>
    <t>DOPAMINA 200 MG/ML X 5 ML AMP</t>
  </si>
  <si>
    <t>ERGONOVINA 0,2 MG AMP</t>
  </si>
  <si>
    <t>ERITROPOYETINA 10000 UI FCO-AMP</t>
  </si>
  <si>
    <t>ERITROPOYETINA 2000 UI FCO-AMP</t>
  </si>
  <si>
    <t>ERITROPOYETINA 4000 UI FCO-AMP</t>
  </si>
  <si>
    <t>ERTAPENEM 1 G FCO-AMP</t>
  </si>
  <si>
    <t>ESTREPTOMICINA 1 G FCO-AMP</t>
  </si>
  <si>
    <t>ESTREPTOQUINASA 1500000 UI FCO-AMP</t>
  </si>
  <si>
    <t>ETILEFRINA 10 MG AMP</t>
  </si>
  <si>
    <t>ETOMIDATO 2 MG AMP</t>
  </si>
  <si>
    <t>FENITOINA 100 MG AMPOLLA</t>
  </si>
  <si>
    <t>FENOBARBITAL 100 MG/ 2ML AMP</t>
  </si>
  <si>
    <t>FENTANILO  0,05 MG/ML AMPOLLA</t>
  </si>
  <si>
    <t>FILGASTRIM 30 MUI FCO-AMP</t>
  </si>
  <si>
    <t>FLOROGLUCINOL + TRIMETOXIBENCENO AMP</t>
  </si>
  <si>
    <t>FLUMAZENIL 0,5 MG/ 5ML AMP</t>
  </si>
  <si>
    <t>FOSFATO DE POTASIO 3 MMOL/ML X 10 ML AMP</t>
  </si>
  <si>
    <t>FUROSEMIDA 20 MG AMP</t>
  </si>
  <si>
    <t>GENTAMICINA 20 MG AMPOLLA</t>
  </si>
  <si>
    <t>GENTAMICINA 80 MG AMPOLLA</t>
  </si>
  <si>
    <t>GLUCONATO DE CALCIO x 10 ML AMP</t>
  </si>
  <si>
    <t>GLUCOSADO HIPERTONICO 25 % X 10 ML AMP</t>
  </si>
  <si>
    <t>HALOPERIDOL 5 MG/ML AMPOLLA IV</t>
  </si>
  <si>
    <t>HEPARINA SODICA 5000UI/ML X 5 ML FCO-AMP</t>
  </si>
  <si>
    <t>HIDROCORTISONA 100 MG  FCO-AMP</t>
  </si>
  <si>
    <t>HIDROCORTISONA 500 MG  FCO-AMP</t>
  </si>
  <si>
    <t>HIERRO AC FOLICO VIT B12 AMP</t>
  </si>
  <si>
    <t>HIERRO DEXTRANO 5% AMP</t>
  </si>
  <si>
    <t>HIERRO SACARATO 100 MG/ 5ML AMP</t>
  </si>
  <si>
    <t>HIOSCINA + DIPIRONA X 5 ML AMP</t>
  </si>
  <si>
    <t>HIOSCINA 20 MG/ML AMP</t>
  </si>
  <si>
    <t>IBUPROFENO AMP</t>
  </si>
  <si>
    <t>IMIPENEM 500 MG FCO-AMP</t>
  </si>
  <si>
    <t>2144602-2246102</t>
  </si>
  <si>
    <t>INMUNOGLOBULINA HUMANA 10 G FCO-AMP</t>
  </si>
  <si>
    <t>INSULINA HUMANA CTE 100UI/ML  FCO-AMP X 5 ML</t>
  </si>
  <si>
    <t>INSULINA HUMANA NPH 100UI/ML  FCO-AMP X 5 ML</t>
  </si>
  <si>
    <t>IOVERSOL 350 X 50 ML FRASCO AMPOLLA</t>
  </si>
  <si>
    <t>ISOPROTERENOL 1 MG/5 ML AMP.</t>
  </si>
  <si>
    <t>ISOXUPRINA 10 MG/2ML AMPOLLA</t>
  </si>
  <si>
    <t>KETOROLAC 30 MG AMP</t>
  </si>
  <si>
    <t>LABETALOL 5 MG/ML X 4 ML AMP</t>
  </si>
  <si>
    <t>LEVETIRACETAM 100 MG FRASCO AMPOLLA</t>
  </si>
  <si>
    <t>LEVOFLOXACINA  500 MG/ 100 ML AMP</t>
  </si>
  <si>
    <t>LEVOMEPROMAZINA 25 MG/ML AMP</t>
  </si>
  <si>
    <t>LEVOTIROXINA 200 MCG AMP</t>
  </si>
  <si>
    <t>LIDOCAINA 2% C/E X 20 ML FCO-AMP</t>
  </si>
  <si>
    <t>LIDOCAINA 2% S/E X 20 ML FCO-AMP</t>
  </si>
  <si>
    <t>LIDOCAINA 2% X 5 ML AMP</t>
  </si>
  <si>
    <t>LINEZOLID 600 MG/ 300ML AMP</t>
  </si>
  <si>
    <t>LORAZEPAM  4 MG AMP</t>
  </si>
  <si>
    <t>MEROPENEM 500 MG FCO-AMP</t>
  </si>
  <si>
    <t>METARAMINOL AMP</t>
  </si>
  <si>
    <t>METILPREDNISOLONA  500  MG FCO-AMP</t>
  </si>
  <si>
    <t>METOCLOPRAMIDA  10 MG/2 ML AMP</t>
  </si>
  <si>
    <t>METRONIDAZOL 500 MG AMP</t>
  </si>
  <si>
    <t>METROTEXATO 50 MG AMP X 1 GENERICO</t>
  </si>
  <si>
    <t>MIDAZOLAM 15 MG /3ML AMPOLLA</t>
  </si>
  <si>
    <t>MILRINONA 10 MG FCO-AMP</t>
  </si>
  <si>
    <t>MORFINA 10 MG / ML AMP</t>
  </si>
  <si>
    <t>NALBUFINA 10 MG/ML AMP</t>
  </si>
  <si>
    <t>NALOXONA 0.4 MG/ML AMP</t>
  </si>
  <si>
    <t>NEOSTIGMINA 0,5 MG AMP</t>
  </si>
  <si>
    <t>NITROGLICERINA 25 MG/ 5ML AMP</t>
  </si>
  <si>
    <t>NITROPRUSIATO 50 MG FCO-AMP</t>
  </si>
  <si>
    <t>NORADRENALINA 1 MG/ML AMP.</t>
  </si>
  <si>
    <t>OCITOCINA 5 UI/ML  AMP</t>
  </si>
  <si>
    <t>OCTREOTIDE 0.10 MG AMP</t>
  </si>
  <si>
    <t>OMEPRAZOL 40 MG FCO-AMP</t>
  </si>
  <si>
    <t>ONDANSETRON 8 MG AMP</t>
  </si>
  <si>
    <t>PAMIDRONATO 90 MG FCO-AMP</t>
  </si>
  <si>
    <t>PANCURONIO 4 MG AMP</t>
  </si>
  <si>
    <t>PARACETAMOL 1000 MG AMPOLLA X 100 ML</t>
  </si>
  <si>
    <t>PENICILINA BENZATINICA 2400000 UI FCO-AMP</t>
  </si>
  <si>
    <t>PENICILINA G SODICA 3000000 UI FCO-AMP</t>
  </si>
  <si>
    <t>PIPERACILINA + TAZOBACTAM 4,5 G FCO-AMP</t>
  </si>
  <si>
    <t>POLIDOCANOL 2% AMPOLLA</t>
  </si>
  <si>
    <t>PROCAINA 50 %  x 10 ML AMP</t>
  </si>
  <si>
    <t>PROMETAZINA 50 MG/2ML AMP</t>
  </si>
  <si>
    <t>PROPANOLOL 5 MG AMP</t>
  </si>
  <si>
    <t>PROPOFOL 10 MG/ML X 20 ML AMP</t>
  </si>
  <si>
    <t>PROTAMINA SULFATO 50 MG AMPOLLA</t>
  </si>
  <si>
    <t>PROTROMBINA COMPLEJO FCO-AMP</t>
  </si>
  <si>
    <t>RANITIDINA 50 MG AMP</t>
  </si>
  <si>
    <t>REMIFENTANILO 5 MG FCO-AMP</t>
  </si>
  <si>
    <t>RIFAMPICINA 300 MG CAP</t>
  </si>
  <si>
    <t>RIFAMPICINA 600 MG FCO AMP</t>
  </si>
  <si>
    <t>ROCURONIO 50 MG AMP</t>
  </si>
  <si>
    <t>SUCCINILCOLINA 100 MG AMP</t>
  </si>
  <si>
    <t>SULFATO DE MAGNESIO 25% X 5 ML AMP</t>
  </si>
  <si>
    <t>SURFACTANTE X 4 ML FCO-AMP</t>
  </si>
  <si>
    <t>SURFACTANTE X 8 ML FCO-AMP</t>
  </si>
  <si>
    <t>TEICOPLANINA 400 MG FCO-AMP</t>
  </si>
  <si>
    <t>TERLIPRESINA 1 MG FCO-AMP</t>
  </si>
  <si>
    <t>TIGECICLINA 50 MG FCO AMP</t>
  </si>
  <si>
    <t>TIROFIBAN CLORHIDRATO 0,25MG/ML AMPOLLA</t>
  </si>
  <si>
    <t>TRAMADOL 50 MG AMP</t>
  </si>
  <si>
    <t>TRIMETOPRIMA 80 MG + SULFAMETOXAZOL 400 MG AMP</t>
  </si>
  <si>
    <t>VACUNA TRIPLE VIRAL - Parotiditis/Rubéola/Sarampión</t>
  </si>
  <si>
    <t>VANCOMICINA 500 MG FCO AMP</t>
  </si>
  <si>
    <t>VASOPRESINA 20UI AMPOLLA X 1 GENERICO</t>
  </si>
  <si>
    <t>VECURONIO 10 MG FCO-AMP X 10ML</t>
  </si>
  <si>
    <t>VITAMINA K 1 MG AMP IM/SC</t>
  </si>
  <si>
    <t>VITAMINA K 10 MG AMP EV/ORAL</t>
  </si>
  <si>
    <t>VITAMINA K 10 MG AMP IM</t>
  </si>
  <si>
    <t>VORICONAZOL 200 MG AMP</t>
  </si>
  <si>
    <t>ZIDOVUDINA 200 MG FCO-AMP</t>
  </si>
  <si>
    <t>COD. TS</t>
  </si>
  <si>
    <t>MARCA</t>
  </si>
  <si>
    <t>Seleccione la medicación</t>
  </si>
  <si>
    <t>ACENOCUMAROL 1 MG COMP</t>
  </si>
  <si>
    <t>ACENOCUMAROL 4 MG COMP</t>
  </si>
  <si>
    <t>ACETAZOLAMIDA 250 MG COMP</t>
  </si>
  <si>
    <t>ACETILCISTEINA 600 MG COMP EFERVESCENTE</t>
  </si>
  <si>
    <t>ACICLOVIR 8 G/100 ML X 120 ML SUSP</t>
  </si>
  <si>
    <t>ACICLOVIR 800 MG COMP</t>
  </si>
  <si>
    <t>ACICLOVIR UNG X 10 G</t>
  </si>
  <si>
    <t>ACIDO FOLICO 5 MG COMP</t>
  </si>
  <si>
    <t>ACIDO VALPROICO 5 G/ 100 ML X 120 ML SUSP</t>
  </si>
  <si>
    <t>AGUA DESTILADA X 5 ML</t>
  </si>
  <si>
    <t>AGUA DESTILADA INYECTABLE X 500</t>
  </si>
  <si>
    <t>AGUA PARA IRRIGACION  x 2000ml</t>
  </si>
  <si>
    <t>ALANTOINA CALENDULA CREMA X 50gr</t>
  </si>
  <si>
    <t>ALLOPURINOL 100 MG COMP</t>
  </si>
  <si>
    <t>ALLOPURINOL 300 MG COMP</t>
  </si>
  <si>
    <t>ALPRAZOLAM 0,5 MG COMP</t>
  </si>
  <si>
    <t>ALPRAZOLAM 2 MG COMP</t>
  </si>
  <si>
    <t>ALTERNA 1L-ALIMENTACION</t>
  </si>
  <si>
    <t>AMBROXOL X 120 ML JARABE</t>
  </si>
  <si>
    <t>AMIODARONA 200 MG COMP</t>
  </si>
  <si>
    <t>AMITRIPTILINA 25 MG COMP</t>
  </si>
  <si>
    <t>AMLODIPINA 10 MG COMP</t>
  </si>
  <si>
    <t>AMLODIPINA 5 MG COMP</t>
  </si>
  <si>
    <t>AMOXICILINA + AC CLAVULANICO 1 G COMP</t>
  </si>
  <si>
    <t>AMOXICILINA + AC CLAVULANICO 250 MG X 90 ML SUSP</t>
  </si>
  <si>
    <t>AMOXICILINA 500 MG COMP</t>
  </si>
  <si>
    <t>AMOXICILINA 500 MG/5ML x 90 ML SUSP</t>
  </si>
  <si>
    <t>ASPIRINA 100 MG COMP</t>
  </si>
  <si>
    <t>ASPIRINA 325 MG COMP</t>
  </si>
  <si>
    <t>ASPIRINA 500 MG COMP</t>
  </si>
  <si>
    <t>ATENOLOL 25 MG COMP</t>
  </si>
  <si>
    <t>ATENOLOL 50 MG COMP</t>
  </si>
  <si>
    <t>ATORVASTATINA 10 MG COMP</t>
  </si>
  <si>
    <t>ATROPINA 1% X 5 ML SN OFT</t>
  </si>
  <si>
    <t>AZITROMICINA 500 MG COMP</t>
  </si>
  <si>
    <t>BACLOFENO 10 MG COMP</t>
  </si>
  <si>
    <t>BENCIDAMINA X 120 ML COLUTORIO</t>
  </si>
  <si>
    <t>BETAM + GENT + MICONAZOL X 20 G CR</t>
  </si>
  <si>
    <t>BIPERIDENO 2 MG COMP</t>
  </si>
  <si>
    <t>BISACODILO 5 MG COMP</t>
  </si>
  <si>
    <t>BISMUTO HIDROX + PECTINA x 90 ML SUSP</t>
  </si>
  <si>
    <t>BISOPROLOL 5 MG COMP</t>
  </si>
  <si>
    <t>BROMAZEPAM 3 MG COMP</t>
  </si>
  <si>
    <t>BUDESONIDE 200 MCG X 200 DOSIS AEROSOL</t>
  </si>
  <si>
    <t>BUDESONIDE X 20 ML GOTAS NEB</t>
  </si>
  <si>
    <t>CABERGOLINA 2 MG COMP</t>
  </si>
  <si>
    <t>CAFEINA 10 MG/ML</t>
  </si>
  <si>
    <t>CARBAMAZEPINA 200 MG COMP</t>
  </si>
  <si>
    <t>CARBINOXAMINA X 20 ML GOTAS</t>
  </si>
  <si>
    <t>CARBON 250 MG COMP</t>
  </si>
  <si>
    <t>CARBONATO DE CALCIO 1250 MG COMP</t>
  </si>
  <si>
    <t>CARBONATO DE SODIO + ASOC X 5 ML GOTAS OTICAS</t>
  </si>
  <si>
    <t>CARVEDILOL 12.5 MG COMP</t>
  </si>
  <si>
    <t>CARVEDILOL 6.25 MG COMP</t>
  </si>
  <si>
    <t>CEFALEXINA 500 MG COMP</t>
  </si>
  <si>
    <t>CEFALEXINA 500 MG/ 5 ML X 90 ML SUSP</t>
  </si>
  <si>
    <t>CEFIXIMA 400 MG COMP</t>
  </si>
  <si>
    <t>CEFTAZIDIMA + AVIBACTAM (ZAVICEFTA) 2 G/0.5 G </t>
  </si>
  <si>
    <t>CILOSTAZOL 50 MG COMP</t>
  </si>
  <si>
    <t>CIPROFLOXACINA 500 MG COMP</t>
  </si>
  <si>
    <t>CITALOPRAM 20 MG COMP</t>
  </si>
  <si>
    <t>CITICOLINA 500 MG COMP</t>
  </si>
  <si>
    <t>CLARITROMICINA 250 MG/ 5 ML X 60 ML SUSP</t>
  </si>
  <si>
    <t>CLARITROMICINA 500 MG COMP</t>
  </si>
  <si>
    <t>CLINDAMICINA 300 MG CAP</t>
  </si>
  <si>
    <t>CLOBAZAM 10 MG COMPRIMIDO</t>
  </si>
  <si>
    <t>CLONAZEPAM 0,25 MG COMP SL</t>
  </si>
  <si>
    <t>CLONAZEPAM 0,5 MG COMP</t>
  </si>
  <si>
    <t>CLONAZEPAM 2 MG COMP</t>
  </si>
  <si>
    <t>CLONAZEPAM 2.5 MG / ML GOTAS X 20 ML</t>
  </si>
  <si>
    <t>CLONIXINATO DE LISINA 125 MG COMP</t>
  </si>
  <si>
    <t>CLOPIDOGREL 75 MG COMP</t>
  </si>
  <si>
    <t>DOLUTEGRAVIR 50 MG</t>
  </si>
  <si>
    <t>CLORHEXIDINA DIGLUCONATO X 200 ML COLUTORIO</t>
  </si>
  <si>
    <t>CLORHEXIDINA 2% HIDROALCOHOLICA SPRAY X 120 ML</t>
  </si>
  <si>
    <t>CLORHEXIDINA 4% SN JABONOSA X 500 ML</t>
  </si>
  <si>
    <t>CLORHIDRATO DE MEMANTINA 10 MG</t>
  </si>
  <si>
    <t>CLORURO DE POTASIO 600 MG CAP</t>
  </si>
  <si>
    <t>CLORURO DE SODIO AL 20% X 10 ML</t>
  </si>
  <si>
    <t>CLOTRIMAZOL 1% X 20 G CR</t>
  </si>
  <si>
    <t>CODEINA + ASOC X 100 ML JBE</t>
  </si>
  <si>
    <t>CODEINA 60 MG + PARACETAMOL 300 MG COMP</t>
  </si>
  <si>
    <t>COLAGENASA + CLORANFENICOL X 30 G UNG</t>
  </si>
  <si>
    <t>COLESTIRAMINA POLVO SOBRE</t>
  </si>
  <si>
    <t>COMPLEJO B COMP</t>
  </si>
  <si>
    <t>DEXAMETASONA 4 MG COMP</t>
  </si>
  <si>
    <t>DIAZEPAM 5 MG COMP</t>
  </si>
  <si>
    <t>DIASIP</t>
  </si>
  <si>
    <t>DICLOFENAC 50 MG + MISOPROSTOL COMP</t>
  </si>
  <si>
    <t>DICLOFENAC 50 MG COMP</t>
  </si>
  <si>
    <t>DICLOFENAC X 50 G GEL</t>
  </si>
  <si>
    <t>DIFENHIDRAMINA 12,5 MG/5 ML X 120 ML JARABE</t>
  </si>
  <si>
    <t>DIFENHIDRAMINA 50 MG COMP</t>
  </si>
  <si>
    <t>DIGOXINA 0.25 MG COMP</t>
  </si>
  <si>
    <t>DILTIAZEM 60 MG COMP</t>
  </si>
  <si>
    <t>DIMENHIDRINATO 50 MG  COMP</t>
  </si>
  <si>
    <t>DIPIRONA 500 MG COMP</t>
  </si>
  <si>
    <t>DIPIRONA X 200 ML  JARABE</t>
  </si>
  <si>
    <t>DIVALPROATO DE SODIO 250 MG COMP</t>
  </si>
  <si>
    <t>tivicay</t>
  </si>
  <si>
    <t>DOMPERIDONA 10 MG COMP</t>
  </si>
  <si>
    <t>DOMPERIDONA X 20 ML GOTAS</t>
  </si>
  <si>
    <t>DOXAZOSINA 2 MG COMP</t>
  </si>
  <si>
    <t>DOXICICLINA 100 MG COMP</t>
  </si>
  <si>
    <t>ENALAPRIL 10 MG COMP</t>
  </si>
  <si>
    <t>ENALAPRIL 5 MG COMP</t>
  </si>
  <si>
    <t>ENOXAPARINA 20 MG JERINGA PRELLENADA</t>
  </si>
  <si>
    <t>ENOXAPARINA 40 MG JERINGA PRELLENADA</t>
  </si>
  <si>
    <t>ENOXAPARINA 60 MG JERINGA PRELLENADA</t>
  </si>
  <si>
    <t>ENOXAPARINA 80 MG JERINGA PRELLENADA</t>
  </si>
  <si>
    <t>ENSURE ADVANCE</t>
  </si>
  <si>
    <t>ENSURE CLINICAL</t>
  </si>
  <si>
    <t>ENTEROGERMINA A.BEB.X 10 X 5 ML SANOFI-AVENTIS O</t>
  </si>
  <si>
    <t>enterogermina</t>
  </si>
  <si>
    <t>ENFABEBE X 200 ML</t>
  </si>
  <si>
    <t>ERGONAVINA 0,2 MG COMP</t>
  </si>
  <si>
    <t>ERITROMICINA 1% X 5 ML SN OFT</t>
  </si>
  <si>
    <t>ERITROMICINA 4% X 100 ML SUSP</t>
  </si>
  <si>
    <t>ERITROMICINA 500 MG COMP</t>
  </si>
  <si>
    <t>ERITROMICINA UNG  OFT UNIDOSIS</t>
  </si>
  <si>
    <t>ESOMEPRAZOL 10 MG SOBRE</t>
  </si>
  <si>
    <t>ESPIRONOLACTONA 100 MG COMP</t>
  </si>
  <si>
    <t>ESPIRONOLACTONA 25 MG COMP</t>
  </si>
  <si>
    <t>ETAMBUTOL 400 MG COMP</t>
  </si>
  <si>
    <t>FENITOINA 100 MG CAP</t>
  </si>
  <si>
    <t>FENITOINA X 120 ML SUSP</t>
  </si>
  <si>
    <t>FENOBARBITAL 100 MG COMP</t>
  </si>
  <si>
    <t>FENOBARBITAL 15 MG COMP</t>
  </si>
  <si>
    <t>FEXOFENADINA 180 MG COMP</t>
  </si>
  <si>
    <t>FIBRINOGENO KIT ADHESIVO 1 ML</t>
  </si>
  <si>
    <t>FIBRINOGENO KIT ADHESIVO 3 ML</t>
  </si>
  <si>
    <t>FINASTERIDE 5 MG COMP</t>
  </si>
  <si>
    <t>FLECAINIDA 100 MG COMP</t>
  </si>
  <si>
    <t>FLUCONAZOL 100 MG COMP</t>
  </si>
  <si>
    <t>FLUCONAZOL 200 MG / 100 ML EV</t>
  </si>
  <si>
    <t>FLUCONAZOL 50 MG/ 5 ML X 35 ML  SUSP</t>
  </si>
  <si>
    <t>FLUORESCEINA 0,25% X 5 ML COLIRIO</t>
  </si>
  <si>
    <t>FLUOXETINA 20 MG COMP</t>
  </si>
  <si>
    <t>FLUTICASONA 125 MCG AEROSOL X 120 DOSIS</t>
  </si>
  <si>
    <t>FLUTICASONA 250 + SALMETEROL 25 MCG AEROSOL X 120 DOSIS</t>
  </si>
  <si>
    <t>FOSFATO MONOSODICO + FOSFATO DE SODIO ENEMA</t>
  </si>
  <si>
    <t>FOSMICYN 1 GR IV INY.F.A X 1 LAFEDAR</t>
  </si>
  <si>
    <t>FUROSEMIDA 40 MG COMP</t>
  </si>
  <si>
    <t>FUSIDICO, ACIDO 2% CR</t>
  </si>
  <si>
    <t>GANCICLOVIR 500 MG F/A X 1 HSJD</t>
  </si>
  <si>
    <t>ciganclor</t>
  </si>
  <si>
    <t>GADOTERATO DE MEGLUMINA X 15 ML FCO ( DOTAREM)</t>
  </si>
  <si>
    <t>GLICERINA SUPOSITORIOS</t>
  </si>
  <si>
    <t>GLUCERNA</t>
  </si>
  <si>
    <t>GLICINA</t>
  </si>
  <si>
    <t>GLUCAGON 1 MG JGA PRELL.</t>
  </si>
  <si>
    <t>glucogen</t>
  </si>
  <si>
    <t>GLUCONATO DE POTASIO X 150 ML ELIXIR</t>
  </si>
  <si>
    <t>HALOPERIDOL 2 MG/ML X 30 ML GOTAS</t>
  </si>
  <si>
    <t>HIDRALAZINA 50 MG COMP</t>
  </si>
  <si>
    <t>HIDROCLOROTIAZIDA 25 MG COMP</t>
  </si>
  <si>
    <t>HIDROCORTISONA + LIDOCAINA X 10G POMADA</t>
  </si>
  <si>
    <t>HIDROCORTISONA 1% X 15 G CR</t>
  </si>
  <si>
    <t>HIDROCORTISONA 10 MG COMP</t>
  </si>
  <si>
    <t>HIDROX MAG + HIDROX AL+ SIMET X 150 ML SUSP</t>
  </si>
  <si>
    <t>HIDROXICINA 25 MG COMP</t>
  </si>
  <si>
    <t>HIDROXICLOROQUINA 200 MG COMP</t>
  </si>
  <si>
    <t>HIDROXIETILALMIDON 6% X 500 ML</t>
  </si>
  <si>
    <t>DIOSMINA + HESPERIDINA 500MG</t>
  </si>
  <si>
    <t>HIDROXIPROPILMETILCELULOSA X 15 ML SOL OFT</t>
  </si>
  <si>
    <t>yectafer complex</t>
  </si>
  <si>
    <t>PREGABALINA 75 MG</t>
  </si>
  <si>
    <t>HIERRO SULFATO 200 MG COMP</t>
  </si>
  <si>
    <t>HIERRO SULFATO X 20 ML GOTAS</t>
  </si>
  <si>
    <t>HIOSCINA + DIPIRONA COMP</t>
  </si>
  <si>
    <t>HIOSCINA 10 MG COMP</t>
  </si>
  <si>
    <t>HIPOGLOS CICATRIZANTE PVO.X 40 G ANDROMACO</t>
  </si>
  <si>
    <t>hipoglos</t>
  </si>
  <si>
    <t>IBUPROFENO 4 % SUSPENSION</t>
  </si>
  <si>
    <t>IBUPROFENO 400 MG COMP</t>
  </si>
  <si>
    <t>INDOMETACINA 75 MG SUPOSITORIO</t>
  </si>
  <si>
    <t>INMUNOGLOBULINA ANTI-HEPATITIS B HUMANA 200 UI/ML</t>
  </si>
  <si>
    <t>octagan-privigen</t>
  </si>
  <si>
    <t>IOBITRIDOL 300 MG X 50 ML</t>
  </si>
  <si>
    <t>IODO 4,8 GR LIPIODOL</t>
  </si>
  <si>
    <t>lipiodol</t>
  </si>
  <si>
    <t>IODOPOVIDONA JAB X 60 ML</t>
  </si>
  <si>
    <t>IODOPOVIDONA SOL X 60 ML</t>
  </si>
  <si>
    <t>IOTALAMATO DE MEGLUMINA 60% X 50 ML FCO</t>
  </si>
  <si>
    <t>IOVERSOL 240 X 125 ML JERINGA PRELLENADA</t>
  </si>
  <si>
    <t>IOVERSOL 320 MG X 100 ML FCO</t>
  </si>
  <si>
    <t>IOVERSOL 320 MG X 50 ML FCO</t>
  </si>
  <si>
    <t>IOVERSOL 320 X 125 ML JERINGA PRELLENADA</t>
  </si>
  <si>
    <t>IOVERSOL 350 X 125 ML JERINGA PRELLENADA</t>
  </si>
  <si>
    <t>IPRATROPIO BROMURO X 20 ML GOTAS NEB</t>
  </si>
  <si>
    <t>IPRATROPIO BROMURO X 250 DOSIS AEROSOL</t>
  </si>
  <si>
    <t>ISONIAZIDA 300 MG COMP</t>
  </si>
  <si>
    <t>ISOSORBIDE DINITRATO 5 MG COMP SUBLINGUAL</t>
  </si>
  <si>
    <t>ISOSORBIDE MONONITRATO 20 MG COMP</t>
  </si>
  <si>
    <t>ISOXUPRINA 10 MG COMP</t>
  </si>
  <si>
    <t>KETOROLAC 10 MG COMP SUBLINGUAL</t>
  </si>
  <si>
    <t>KETOROLAC 20 MG COMP</t>
  </si>
  <si>
    <t>LABETALOL 200 MG COMP</t>
  </si>
  <si>
    <t>LACTULOSA X 120 ML JBE</t>
  </si>
  <si>
    <t>LACOSAMIDA 100 MG COMP</t>
  </si>
  <si>
    <t>lacotem</t>
  </si>
  <si>
    <t>LAMOTRIGINA 25 MG COMPRIMIDO</t>
  </si>
  <si>
    <t>LEUCOVORINA 15MG COMPRIMIDO X 1 GENERICO</t>
  </si>
  <si>
    <t>leucocalcin</t>
  </si>
  <si>
    <t>LEVETIRACETAM 500 MG COMP</t>
  </si>
  <si>
    <t>LEVETIRACETAM 100 MG/ML SOL</t>
  </si>
  <si>
    <t>LEVODOPA + BENSERAZIDA 250 MG COMP</t>
  </si>
  <si>
    <t>LEVODOPA + CARBIDOPA 125 MG COMP</t>
  </si>
  <si>
    <t>LEVODOPA + CARBIDOPA 250 MG COMP</t>
  </si>
  <si>
    <t>LEVOFLOXACINA 500 MG COMP</t>
  </si>
  <si>
    <t>LEVOMEPROMAZINA 25 MG COMP</t>
  </si>
  <si>
    <t>LEVOMEPROMAZINA 2 MG COMP</t>
  </si>
  <si>
    <t>togrel</t>
  </si>
  <si>
    <t>LEVOTIROXINA 100 MCG COMP</t>
  </si>
  <si>
    <t>LEVOTIROXINA 50 MCG COMP</t>
  </si>
  <si>
    <t>LIDOCAINA  2 %. JALEA X 25 ML</t>
  </si>
  <si>
    <t>LIDOCAINA + PRILOCAINA PARCHE</t>
  </si>
  <si>
    <t>LIDOCAINA 4% SN TOPICA X 25 ML</t>
  </si>
  <si>
    <t>LIDOCAINA SPRAY 10% X 50 G</t>
  </si>
  <si>
    <t>LIDOCAINA VISCOSA 2% X 50 ML</t>
  </si>
  <si>
    <t>LOPERAMIDA 2 MG COMP</t>
  </si>
  <si>
    <t>LORATADINA 10 MG COMP</t>
  </si>
  <si>
    <t>LORAZEPAM 1 MG COMP</t>
  </si>
  <si>
    <t>LORAZEPAM 1 MG COMP SUBLINGUAL</t>
  </si>
  <si>
    <t>LORAZEPAM 2 MG COMP</t>
  </si>
  <si>
    <t>LOSARTAN 50 MG COMP</t>
  </si>
  <si>
    <t>MAGNESIO CITRATO COMP</t>
  </si>
  <si>
    <t>MANZANILLA 50GR SOBRES</t>
  </si>
  <si>
    <t>MEBENDAZOL 200 MG COMP</t>
  </si>
  <si>
    <t>MEMBRANA DE COLAGENO 10 X 10</t>
  </si>
  <si>
    <t>MEPREDNISONA 4 MG COMP</t>
  </si>
  <si>
    <t>MEPREDNISONA 40 MG COMP</t>
  </si>
  <si>
    <t>MEPREDNISONA 8 MG COMP</t>
  </si>
  <si>
    <t>MEPREDNISONA X 20 ML GOTAS</t>
  </si>
  <si>
    <t>MESALAZINA 400 MG COMP</t>
  </si>
  <si>
    <t>METADONA 5 MG COMP</t>
  </si>
  <si>
    <t>METFORMINA 500 MG COMP</t>
  </si>
  <si>
    <t>METFORMINA 850 MG  COMP AP</t>
  </si>
  <si>
    <t>METILDOPA 500 MG COMP</t>
  </si>
  <si>
    <t>METILDOPA  250 MG COMP</t>
  </si>
  <si>
    <t>METOCLOPRAMIDA 10 MG COMP</t>
  </si>
  <si>
    <t>METOCLOPRAMIDA 10 MG COMP SUBLINGUAL</t>
  </si>
  <si>
    <t>METOCLOPRAMIDA 2 MG/ ML X 20 ML GOTAS</t>
  </si>
  <si>
    <t>METOCLOPRAMIDA 5 MG/ML X 20 ML GOTAS</t>
  </si>
  <si>
    <t>METRONIDAZOL 500 MG COMP</t>
  </si>
  <si>
    <t>METRONIDAZOL 500 MG OVULO</t>
  </si>
  <si>
    <t>METRONIDAZOL EN GEL 0,75% X 30 GR X 1 HSJD</t>
  </si>
  <si>
    <t>Rozex</t>
  </si>
  <si>
    <t>metrotexato tuteur</t>
  </si>
  <si>
    <t>MICONAZOL 2% CR</t>
  </si>
  <si>
    <t>MINOCICLINA 100 MG</t>
  </si>
  <si>
    <t>drenix</t>
  </si>
  <si>
    <t>MORFINA 1mg / 1000 ml JARABE</t>
  </si>
  <si>
    <t>MOSAPRIDE 5 MG COMP</t>
  </si>
  <si>
    <t>MUPIROCINA X 15 G UNG</t>
  </si>
  <si>
    <t>NAPROXENO 250 MG COMP</t>
  </si>
  <si>
    <t>NICOTINA PARCHE X 20 CM2</t>
  </si>
  <si>
    <t>NIFEDIPINA 20 MG COMP RTD</t>
  </si>
  <si>
    <t>NIMODIPINA 30 MG COMP</t>
  </si>
  <si>
    <t>NIMODIPINA 60 MG COMP</t>
  </si>
  <si>
    <t>NISTATINA POMADA X 30 G</t>
  </si>
  <si>
    <t>NISTATINA X 60 ML SUSP</t>
  </si>
  <si>
    <t>NITROFURANTOINA 100 MG COMP</t>
  </si>
  <si>
    <t>NITROFURAZONA x 20 APOSITOS</t>
  </si>
  <si>
    <t>NUTRILON PREMATUROS 1 X 70 M,L</t>
  </si>
  <si>
    <t>OFLOXACINA 0,3% GOTAS OTICAS</t>
  </si>
  <si>
    <t>OLANZAPINA 5 MG COMP</t>
  </si>
  <si>
    <t>OLEO CALCARIO x 250 ml</t>
  </si>
  <si>
    <t>OMEPRAZOL 10 MG COMP</t>
  </si>
  <si>
    <t>OMEPRAZOL 20 MG CAP</t>
  </si>
  <si>
    <t>OMEPRAZOL SUSP X 100 ML</t>
  </si>
  <si>
    <t>ulcozol</t>
  </si>
  <si>
    <t>ONDANSETRON 8 MG COMP</t>
  </si>
  <si>
    <t>OSELTAMIVIR 75 MG CÁP</t>
  </si>
  <si>
    <t>OSMOLITE</t>
  </si>
  <si>
    <t>OXIBUTININA 1 MG/ML JARABE</t>
  </si>
  <si>
    <t>ditropan</t>
  </si>
  <si>
    <t>OXIBUTININA 5 MG COMP</t>
  </si>
  <si>
    <t>PARACETAMOL 500 MG COMP</t>
  </si>
  <si>
    <t>PARACETAMOL X 120 ML SN</t>
  </si>
  <si>
    <t>PARACETAMOL X 20 ML GOTAS</t>
  </si>
  <si>
    <t>PAROXETINA 20 MG COMP</t>
  </si>
  <si>
    <t>FENOXIMETILPENICILINA 60000 UI/ML JARABE X 1 HSJD</t>
  </si>
  <si>
    <t>pen oral</t>
  </si>
  <si>
    <t>PENTOXIFILINA 400 MG COMP</t>
  </si>
  <si>
    <t>PERMETRINA + BENZ DE SODIO X 100 ML LOCION</t>
  </si>
  <si>
    <t>PICOSULFATO DE SODIO + ASOC X 180 ML EMULSIÓN</t>
  </si>
  <si>
    <t>PIRIMETAMINA 25 MG COMP</t>
  </si>
  <si>
    <t>PIRAZINAMIDA 250mg COMP</t>
  </si>
  <si>
    <t>POLIESTIRENO SULFONATO DE CALCIO SOBRE</t>
  </si>
  <si>
    <t>POLIETILENGLICOL 3350 X 4 L</t>
  </si>
  <si>
    <t>POLIETILENGLICOL 3350 SOBRE X 4,5 gr</t>
  </si>
  <si>
    <t>PRASUGREL 10 MG COMP</t>
  </si>
  <si>
    <t>PROGESTERONA 100 MG CAP</t>
  </si>
  <si>
    <t>PROPAFENONA 150 MG COMP</t>
  </si>
  <si>
    <t>PROPANOLOL 10 MG COMP</t>
  </si>
  <si>
    <t>PROPANOLOL 40 MG COMP</t>
  </si>
  <si>
    <t>PROPRANOLOL  SOL.ORAL X 100 ML</t>
  </si>
  <si>
    <t>PROPARACAINA 0,5%  X 15 ML SN OFT</t>
  </si>
  <si>
    <t>PROPINOX COMP</t>
  </si>
  <si>
    <t>PURILON GEL 25 G COLOPLAST</t>
  </si>
  <si>
    <t>purilon</t>
  </si>
  <si>
    <t>QUETIAPINA 25 MG COMP</t>
  </si>
  <si>
    <t>RESINA DE COLOFONIA x 92 ML SN</t>
  </si>
  <si>
    <t>RIFAMICINA 0,5% SN TOPICA X 22 ML FCO</t>
  </si>
  <si>
    <t>RIFAMICINA 1% X 30 ML SPRAY</t>
  </si>
  <si>
    <t>RIFAXIMINA 200 MG COMP</t>
  </si>
  <si>
    <t>RISPERIDONA 1 MG COMP</t>
  </si>
  <si>
    <t>RISPERIDONA X 30 ML SN</t>
  </si>
  <si>
    <t>SACCHAROMISES BOULARDII CAPSULA</t>
  </si>
  <si>
    <t>zemuron</t>
  </si>
  <si>
    <t>SALBUTAMOL + IPRATROPIO MONODOSIS NEB</t>
  </si>
  <si>
    <t>SALBUTAMOL + IPRATROPIO X 250 DOSIS AEROSOL</t>
  </si>
  <si>
    <t>SALBUTAMOL 0.5%  X 10 ML GOTAS NEB</t>
  </si>
  <si>
    <t>SALBUTAMOL 100 MCG X 250 DOSIS AEROSOL</t>
  </si>
  <si>
    <t>SALES PARA REHIDRATACION ORAL FRUTILLA SOBRE</t>
  </si>
  <si>
    <t>SERTRALINA 25 MG COMP</t>
  </si>
  <si>
    <t>SEVOFLURANO X 250 ML FCO</t>
  </si>
  <si>
    <t>SILDENAFIL 50 MG COMP</t>
  </si>
  <si>
    <t>SIMETICONA 200 MG COMP</t>
  </si>
  <si>
    <t>SIMETICONA X 60 ML EMULSION</t>
  </si>
  <si>
    <t>SUCRALFATO X 200 ML SUSP</t>
  </si>
  <si>
    <t>SULFADIAZINA 500 MG COMP</t>
  </si>
  <si>
    <t>SULFADIAZINA DE PLATA + ASOC X 350 G CR</t>
  </si>
  <si>
    <t>SULFADIAZINA DE PLATA + ASOC X 30/50 G CR</t>
  </si>
  <si>
    <t>SULFATO DE BARIO 55 GR ENEMA</t>
  </si>
  <si>
    <t>TAMSULOSINA 0,4 MG CAP</t>
  </si>
  <si>
    <t>TELMISARTAN 40 MG COMP</t>
  </si>
  <si>
    <t>TENOFOVOR + EMTRICITAVINA 200+300 MG COMP</t>
  </si>
  <si>
    <t>TERAZOSINA 5 MG COMP</t>
  </si>
  <si>
    <t>remivir</t>
  </si>
  <si>
    <t>TICAGRELOR 90 MG COMP</t>
  </si>
  <si>
    <t>TIMOLOL  0.5 % X 5 ML SOL OFT</t>
  </si>
  <si>
    <t>TOBRAMICINA + DEXAMETASONA X 3,5 G UNG OFT</t>
  </si>
  <si>
    <t>TOBRAMICINA + DEXAMETASONA X 5 ML SUSP OFT</t>
  </si>
  <si>
    <t>agrastat</t>
  </si>
  <si>
    <t>TOBRAMICINA 0.3 % X 5 ML SUSP OFT</t>
  </si>
  <si>
    <t>TRAMADOL 100 MG/ML GOTAS X 10 ML</t>
  </si>
  <si>
    <t>TRIMEBUTINA 100 MG COMP</t>
  </si>
  <si>
    <t>TRIMETAZIDINA 35 MG COMP LP</t>
  </si>
  <si>
    <t>TRIMETOPRIMA + SULFAMETOXAZOL JARABE X 60 ML</t>
  </si>
  <si>
    <t>TRIMETOPRIMA 160 MG + SULFAMETOXAZOL 800 MG COMP</t>
  </si>
  <si>
    <t>bactrin</t>
  </si>
  <si>
    <t>TROPICAMIDA + FENILEFRINA X 5 ML SOL OFT</t>
  </si>
  <si>
    <t>URSODESOXICOLICO, AC 300 MG COMP</t>
  </si>
  <si>
    <t>VACUNA ANTIAMARÍLICA - Fiebre amarilla</t>
  </si>
  <si>
    <t>VACUNA ANTIGRIPAL</t>
  </si>
  <si>
    <t>STAMARIL</t>
  </si>
  <si>
    <t>ISTIVAC</t>
  </si>
  <si>
    <t>VACUNA ANTIHEPATITIS A</t>
  </si>
  <si>
    <t>AGRIPAL</t>
  </si>
  <si>
    <t>VACUNA ANTIHEPATITIS A + B</t>
  </si>
  <si>
    <t>INFLUVAC</t>
  </si>
  <si>
    <t>VACUNA ANTIHEPATITIS A ADULTO</t>
  </si>
  <si>
    <t>AVAXIM 80</t>
  </si>
  <si>
    <t>VACUNA ANTIHEPATITIS A PEDIATRICA</t>
  </si>
  <si>
    <t>TWINRIX AD</t>
  </si>
  <si>
    <t>VACUNA ANTIHEPATITIS B ADULTO</t>
  </si>
  <si>
    <t>HAVRIX 1440</t>
  </si>
  <si>
    <t>HAVRIX 720</t>
  </si>
  <si>
    <t>VACUNA ANTIHEPATITIS B PEDIATRIA</t>
  </si>
  <si>
    <t>BIOVAC HB 20</t>
  </si>
  <si>
    <t>AGB 20</t>
  </si>
  <si>
    <t>VACUNA ANTIMENINGOCÓCCICA C CONJUGADA</t>
  </si>
  <si>
    <t>BIOVAC HB 10</t>
  </si>
  <si>
    <t>VACUNA ANTIMENINGOCÓCCICA CONJUGADA A/C/Y/W-135</t>
  </si>
  <si>
    <t>AGB 10</t>
  </si>
  <si>
    <t>BEXSERO</t>
  </si>
  <si>
    <t>VACUNA ANTINEUMOCÓCCICA</t>
  </si>
  <si>
    <t>MENVEO</t>
  </si>
  <si>
    <t>VACUNA ANTINEUMOCÓCCICA CONJUGADA</t>
  </si>
  <si>
    <t>MENACTRA</t>
  </si>
  <si>
    <t>VACUNA ANTIRROTAVIRUS</t>
  </si>
  <si>
    <t>PNEUMOVAX 23</t>
  </si>
  <si>
    <t>VACUNA ANTITETÁNICA</t>
  </si>
  <si>
    <t>PREVENAR</t>
  </si>
  <si>
    <t>ROTARIX</t>
  </si>
  <si>
    <t>VACUNA ANTITUBERCULOSA</t>
  </si>
  <si>
    <t>TETANOL</t>
  </si>
  <si>
    <t>VACUNA ANTIVARICELOSA</t>
  </si>
  <si>
    <t>ANTITETÁNICA BIOL</t>
  </si>
  <si>
    <t>BCG SSI</t>
  </si>
  <si>
    <t>VACUNA CONTRA EL VIRUS DEL PAPILOMA HUMANO (TIPOS 18, 16, 11 y 6)</t>
  </si>
  <si>
    <t>VARILRIX</t>
  </si>
  <si>
    <t>VACUNA DOBLE ADULTO - Difteria/Tétanos</t>
  </si>
  <si>
    <t>VARIVAX</t>
  </si>
  <si>
    <t>VACUNA GAMMAGLOBULINA ANTITETÁNICA/TOXOIDE TETÁNICO</t>
  </si>
  <si>
    <t>GARDASIL</t>
  </si>
  <si>
    <t>DOBLE ADULTO</t>
  </si>
  <si>
    <t>GAMMATET 500</t>
  </si>
  <si>
    <t>VACUNA GAMMAGLOBULINA HUMANA ANTI-D (Rho)</t>
  </si>
  <si>
    <t>TETABULIN 500</t>
  </si>
  <si>
    <t>VACUNA QUÍNTUPLE ACELULAR - Difteria/Hib/Tétanos/Tos ferina/Poliomelitis</t>
  </si>
  <si>
    <t>tetanogama 500 ui</t>
  </si>
  <si>
    <t>VACUNA SÉXTUPLE ACELULAR - Difteria/Hib/Hep B/Tétanos/Tos ferina/Poliomelitis</t>
  </si>
  <si>
    <t>RHOPHYLAC 300</t>
  </si>
  <si>
    <t xml:space="preserve">PENTAXIM  </t>
  </si>
  <si>
    <t>VACUNA TRIPLE BACTERIANA ACELULAR - Difteria/Pertusis/Tétanos</t>
  </si>
  <si>
    <t>INFARIX</t>
  </si>
  <si>
    <t>HEXAXIM</t>
  </si>
  <si>
    <t>ADACEL</t>
  </si>
  <si>
    <t xml:space="preserve">BUSTRIX  </t>
  </si>
  <si>
    <t>VASELINA + LANOLINA X 3,5 G UNG OFT</t>
  </si>
  <si>
    <t>MMR II</t>
  </si>
  <si>
    <t>VASELINA LIQ X 250 ML</t>
  </si>
  <si>
    <t>VASELINA LIQ X 500 ML</t>
  </si>
  <si>
    <t>VASELINA SOLIDA X 1 KG</t>
  </si>
  <si>
    <t>VITAMINA A-BÓRICO, ÁCIDO-OXIDO DE ZINC CREMA X 50 gr</t>
  </si>
  <si>
    <t>novopressina</t>
  </si>
  <si>
    <t>VITAMINA ADC X 20 ML GOTAS</t>
  </si>
  <si>
    <t>VITAMINA D2 X 10 ML GOTAS</t>
  </si>
  <si>
    <t>VITAMINA D3 0,25 MCG COMP(CALCITRIOL)</t>
  </si>
  <si>
    <t>VITAMINA E 200 MG CAPSULAS X 1 GENERICO</t>
  </si>
  <si>
    <t>tanvimil E</t>
  </si>
  <si>
    <t>KONAKION</t>
  </si>
  <si>
    <t>WARFARINA 5 MG</t>
  </si>
  <si>
    <t>ZIDOVUDINA 10 MG/ML JBE X 240 ML</t>
  </si>
  <si>
    <t>v-fend</t>
  </si>
  <si>
    <t>ZOLPIDEM 10 MG COMP</t>
  </si>
  <si>
    <t>ESPESAN / ABBOTT</t>
  </si>
  <si>
    <t>SECALBUM / NUTRICIA-BAGO</t>
  </si>
  <si>
    <t>KAS 1000 / NUTRICIA-BAGO</t>
  </si>
  <si>
    <t>POLIMEROSA / NUTRICIA-BAGO</t>
  </si>
  <si>
    <t>NUTRILON PREMATUROS 1 BOTELLA X 70 ML</t>
  </si>
  <si>
    <t>ENFAMIL PREMATURO 24 KCAL MED JHONSON x 48</t>
  </si>
  <si>
    <t>ENFAMIL PREMATURO 30 KCAL MED JHONSON x 48</t>
  </si>
  <si>
    <t>JEVITY X 1 L / ABBOTT</t>
  </si>
  <si>
    <t>ALTERNA X 1 L / ABBOTT</t>
  </si>
  <si>
    <t>OSMOLITE X 1 L / ABBOTT</t>
  </si>
  <si>
    <t>GLUCERNA  X 1 L / ABBOTT</t>
  </si>
  <si>
    <t>DIASIP / NUTRICIA-BAGO</t>
  </si>
  <si>
    <t>GLUCERNA x 237 ml</t>
  </si>
  <si>
    <t>NEPRO / ABBOTT X 237 ML</t>
  </si>
  <si>
    <t>SANCOR 1</t>
  </si>
  <si>
    <t>SANCOR 2</t>
  </si>
  <si>
    <t>ENSURE / ABBOTT x 220 ml</t>
  </si>
  <si>
    <t>SMOFKABIVEN PERIFERICO BOLSA X 1904 ML</t>
  </si>
  <si>
    <t>SMOFKABIVEN CENTRAL BOLSA X 1970 ML</t>
  </si>
  <si>
    <t>NUTRICION PARENTERAL NEO ( 0-250 ML ) X 1 MAGISTRALES</t>
  </si>
  <si>
    <t>NUTRICION PARENTERAL ESTANDAR NEO X 75 ML (BOLSA CERO) X 1 CMI</t>
  </si>
  <si>
    <t>NUTRAMIGEN LGG X 400 GR</t>
  </si>
  <si>
    <t>MCT OIL X 500 ML (TECEEME)</t>
  </si>
  <si>
    <t>NUTRILOM CONFORT X 400 GR</t>
  </si>
  <si>
    <t>ALFARE X 400 GR</t>
  </si>
  <si>
    <t>NUTRILOM PEPTI JUNIORS (PROTEINA HIDROL)</t>
  </si>
  <si>
    <t>ENFAMIL HUMAN MILK FORTIFIER A.X 100 X 5 ML</t>
  </si>
  <si>
    <t>NUTRIPREM SOB.X 50 NUTRICIA-BAGO</t>
  </si>
  <si>
    <t>SOL. ACETICO 5% X 250</t>
  </si>
  <si>
    <t>SOL. ACETICO 3% X 250</t>
  </si>
  <si>
    <t xml:space="preserve">ACIDO FOLICO 1 MG CAPSULAS </t>
  </si>
  <si>
    <t xml:space="preserve">ALCOHOL ABSOLUTO AMP </t>
  </si>
  <si>
    <t>AZUL DE METILENO 1 % AMP</t>
  </si>
  <si>
    <t>AZUL PATENTE AMP</t>
  </si>
  <si>
    <t>BICARBONATO DE SODIO  500 MG CAPSULAS</t>
  </si>
  <si>
    <t>CAFEINA CITRATO  10 MG/ML AMP</t>
  </si>
  <si>
    <t>LACTATO DE CALCIO 250 MG CAPSULAS</t>
  </si>
  <si>
    <t>CARBÓN DE MARCACIÓN 4% x 5 ML AMP</t>
  </si>
  <si>
    <t>CARBON ACTIVADO BOLSA X 100 G X 1 MAGISTRALES</t>
  </si>
  <si>
    <t>CREMA BASE X 1 KGR</t>
  </si>
  <si>
    <t>FOSFATOS 8,45MG/ML(mono potasico 640 mg / di potasico 160 mg) FCO GOTERO 20 ML</t>
  </si>
  <si>
    <t>SOL. LUGOL x 250 ML</t>
  </si>
  <si>
    <t>SOL MONSEL x 250 ML</t>
  </si>
  <si>
    <t xml:space="preserve">TRIANCINOLONA 40 MG/ML x 1 ML </t>
  </si>
  <si>
    <t>SOL. ACIDO TRICLOROACETICO 5% x 100 ML</t>
  </si>
  <si>
    <t>SOL. ACIDO TRICLOROACETICO 30% x 100 ML</t>
  </si>
  <si>
    <t>SOL. ACIDOTRICLOROACETICO 80% x 100 ML</t>
  </si>
  <si>
    <t>ACETONA (QUITAESMALTE) x 120 ML</t>
  </si>
  <si>
    <t>SOL ACIDO TRICLOROACETICO 50% x 100 ML</t>
  </si>
  <si>
    <t>ALCOHOL 50% GLICEROL x 2 ML  AMP</t>
  </si>
  <si>
    <t>BICARBONATO SOBRES X 25</t>
  </si>
  <si>
    <t>H2O BLANCA</t>
  </si>
  <si>
    <t xml:space="preserve">H2O D´ALIBOUR X 250 ML </t>
  </si>
  <si>
    <t xml:space="preserve">PARAFINA X 1 KG </t>
  </si>
  <si>
    <t>PASTA AL AGUA X 50 GR</t>
  </si>
  <si>
    <t>PASTA LASSAR X 50 GR</t>
  </si>
  <si>
    <t>SUCROSA 24% X 10 ML</t>
  </si>
  <si>
    <t>INDIGO CARMIN 3% AMPOLLA X 3 ML</t>
  </si>
  <si>
    <t>ESPIRONOLACTONA 4 MG CAPSULAS</t>
  </si>
  <si>
    <t>HIDROCLOROTIAZIDA 4 MG CAPSULA</t>
  </si>
  <si>
    <t>ACIDO URSODESOXICOLICO SELLOS 15 MG</t>
  </si>
  <si>
    <t>N-ACETILCISTEINA 10% X 100 ML X 1 GENERICO</t>
  </si>
  <si>
    <t>TOPIRAMATO 10 MG</t>
  </si>
  <si>
    <t xml:space="preserve">TINTA CHINA PURA ESTERIL FRASCO AMP </t>
  </si>
  <si>
    <t>AMIODARONA 10 MG SELLOS X 1 GENERICO</t>
  </si>
  <si>
    <t>SOLUCION POTASIO MOLAR X 100 ML SACHET</t>
  </si>
  <si>
    <t>SOLUCION CLORURO SODIO 0,9 % X 100 ML</t>
  </si>
  <si>
    <t>SOLUCION DEXTROSA AL 5 % EN FISIO X 500 ML</t>
  </si>
  <si>
    <t>TRAMADOL 50 MG COMP X 1 HSJD</t>
  </si>
  <si>
    <t>POSOLOGÍA</t>
  </si>
  <si>
    <t>UNICA DOSIS</t>
  </si>
  <si>
    <t>CADA 2 HS.</t>
  </si>
  <si>
    <t>CADA 3 HS.</t>
  </si>
  <si>
    <t>CADA 4 HS.</t>
  </si>
  <si>
    <t>CADA 5 HS.</t>
  </si>
  <si>
    <t>CADA 6 HS.</t>
  </si>
  <si>
    <t>CADA 7 HS.</t>
  </si>
  <si>
    <t>CADA 8 HS.</t>
  </si>
  <si>
    <t>CADA 9 HS.</t>
  </si>
  <si>
    <t>CADA 10 HS.</t>
  </si>
  <si>
    <t>CADA 11 HS.</t>
  </si>
  <si>
    <t>CADA 12 HS.</t>
  </si>
  <si>
    <t>CADA 18 HS.</t>
  </si>
  <si>
    <t>CADA 24 HS.</t>
  </si>
  <si>
    <t>CADA 48 HS.</t>
  </si>
  <si>
    <t>OTRA</t>
  </si>
  <si>
    <t>VIAS</t>
  </si>
  <si>
    <t>ORAL</t>
  </si>
  <si>
    <t>NASAL</t>
  </si>
  <si>
    <t>INTRAMUSCULAR</t>
  </si>
  <si>
    <t>ENDOVENOSA</t>
  </si>
  <si>
    <t>INTRADERMICA</t>
  </si>
  <si>
    <t>SUBCUTANEA</t>
  </si>
  <si>
    <t>RECTAL</t>
  </si>
  <si>
    <t>CENTRAL</t>
  </si>
  <si>
    <t>SUBLINGUAL</t>
  </si>
  <si>
    <t>TOPICA</t>
  </si>
  <si>
    <t>INHALATORIA C/ AEROCAMARA</t>
  </si>
  <si>
    <t>INHALATORIA</t>
  </si>
  <si>
    <t>INTERMITENTE</t>
  </si>
  <si>
    <t>K108</t>
  </si>
  <si>
    <t>GASTROSTOMA</t>
  </si>
  <si>
    <t>VAGINAL</t>
  </si>
  <si>
    <t>ENDOTRAQUEAL</t>
  </si>
  <si>
    <t>SONDA OROGASTRICA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</si>
</sst>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"/>
    <numFmt numFmtId="165" formatCode="[$$-2C0A]#,##0.00;[Red]&quot;(&quot;[$$-2C0A]#,##0.00&quot;)&quot;"/>
  </numFmts>
  <fonts count="31" x14ac:knownFonts="1">
    <font>
      <sz val="11"/>
      <color theme="1"/>
      <name val="Calibri"/>
      <family val="2"/>
      <scheme val="minor"/>
    </font>
    <font>
      <sz val="14"/>
      <color rgb="FF000000"/>
      <name val="Verdana"/>
      <family val="2"/>
    </font>
    <font>
      <sz val="11"/>
      <color rgb="FF000000"/>
      <name val="Calibri"/>
      <family val="2"/>
    </font>
    <font>
      <sz val="11"/>
      <name val="Courier New"/>
      <family val="3"/>
    </font>
    <font>
      <sz val="11"/>
      <color rgb="FF70AD47"/>
      <name val="Calibri"/>
      <family val="2"/>
    </font>
    <font>
      <sz val="16"/>
      <color rgb="FF000000"/>
      <name val="Verdana"/>
      <family val="2"/>
    </font>
    <font>
      <b/>
      <sz val="16"/>
      <color rgb="FF000000"/>
      <name val="Verdana"/>
      <family val="2"/>
    </font>
    <font>
      <sz val="16"/>
      <color rgb="FF000000"/>
      <name val="Calibri"/>
      <family val="2"/>
    </font>
    <font>
      <b/>
      <sz val="18"/>
      <color rgb="FF1F1F1F"/>
      <name val="Calibri"/>
      <family val="2"/>
    </font>
    <font>
      <sz val="28"/>
      <color rgb="FF000000"/>
      <name val="Verdana"/>
      <family val="2"/>
    </font>
    <font>
      <b/>
      <vertAlign val="superscript"/>
      <sz val="14"/>
      <color rgb="FF000000"/>
      <name val="Verdana"/>
      <family val="2"/>
    </font>
    <font>
      <b/>
      <vertAlign val="superscript"/>
      <sz val="16"/>
      <color rgb="FF000000"/>
      <name val="Verdana"/>
      <family val="2"/>
    </font>
    <font>
      <sz val="12"/>
      <color theme="1"/>
      <name val="Verdana Pro"/>
      <family val="2"/>
    </font>
    <font>
      <sz val="14"/>
      <color theme="1"/>
      <name val="Verdana"/>
      <family val="2"/>
    </font>
    <font>
      <sz val="12"/>
      <color theme="1"/>
      <name val="Calibri"/>
      <family val="2"/>
      <scheme val="minor"/>
    </font>
    <font>
      <b/>
      <sz val="14"/>
      <color rgb="FF000000"/>
      <name val="Verdana"/>
      <family val="2"/>
    </font>
    <font>
      <b/>
      <sz val="14"/>
      <name val="Verdana"/>
      <family val="2"/>
    </font>
    <font>
      <b/>
      <sz val="18"/>
      <color rgb="FF000000"/>
      <name val="Calibri"/>
      <family val="2"/>
    </font>
    <font>
      <b/>
      <sz val="18"/>
      <color rgb="FF000000"/>
      <name val="Calibri"/>
      <family val="2"/>
      <scheme val="minor"/>
    </font>
    <font>
      <sz val="11"/>
      <color rgb="FF000000"/>
      <name val="Arial"/>
      <family val="2"/>
    </font>
    <font>
      <b/>
      <i/>
      <sz val="16"/>
      <color rgb="FF000000"/>
      <name val="Arial"/>
      <family val="2"/>
    </font>
    <font>
      <b/>
      <i/>
      <u/>
      <sz val="11"/>
      <color rgb="FF000000"/>
      <name val="Arial"/>
      <family val="2"/>
    </font>
    <font>
      <b/>
      <sz val="20"/>
      <color rgb="FF1F1F1F"/>
      <name val="Calibri"/>
      <family val="2"/>
    </font>
    <font>
      <b/>
      <sz val="18"/>
      <color rgb="FF000000"/>
      <name val="Verdana"/>
      <family val="2"/>
    </font>
    <font>
      <b/>
      <sz val="20"/>
      <color rgb="FF000000"/>
      <name val="Verdana"/>
      <family val="2"/>
    </font>
    <font>
      <b/>
      <sz val="20"/>
      <color rgb="FF000000"/>
      <name val="Calibri"/>
      <family val="2"/>
      <scheme val="minor"/>
    </font>
    <font>
      <b/>
      <u/>
      <sz val="18"/>
      <color rgb="FF000000"/>
      <name val="Verdana"/>
      <family val="2"/>
    </font>
    <font>
      <sz val="18"/>
      <name val="Verdana"/>
      <family val="2"/>
    </font>
    <font>
      <sz val="18"/>
      <color rgb="FF000000"/>
      <name val="Calibri"/>
      <family val="2"/>
      <scheme val="minor"/>
    </font>
    <font>
      <b/>
      <sz val="16"/>
      <color rgb="FF000000"/>
      <name val="Verdana Pro"/>
      <family val="2"/>
    </font>
    <font>
      <b/>
      <sz val="16"/>
      <color rgb="FFFF0000"/>
      <name val="Verdana Pro"/>
      <family val="2"/>
    </font>
  </fonts>
  <fills count="13">
    <fill>
      <patternFill patternType="none"/>
    </fill>
    <fill>
      <patternFill patternType="gray125"/>
    </fill>
    <fill>
      <patternFill patternType="solid">
        <fgColor rgb="FFF7CB4D"/>
        <bgColor rgb="FFF7CB4D"/>
      </patternFill>
    </fill>
    <fill>
      <patternFill patternType="solid">
        <fgColor rgb="FFFFFFFF"/>
        <bgColor rgb="FFFFFFFF"/>
      </patternFill>
    </fill>
    <fill>
      <patternFill patternType="solid">
        <fgColor rgb="FFFEF8E3"/>
        <bgColor rgb="FFFEF8E3"/>
      </patternFill>
    </fill>
    <fill>
      <patternFill patternType="solid">
        <fgColor theme="1"/>
        <bgColor rgb="FFFEF8E3"/>
      </patternFill>
    </fill>
    <fill>
      <patternFill patternType="solid">
        <fgColor rgb="FFFFFF00"/>
        <bgColor rgb="FFFFFF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rgb="FFFFFFFF"/>
      </patternFill>
    </fill>
    <fill>
      <patternFill patternType="solid">
        <fgColor theme="1" tint="0.249977111117893"/>
        <bgColor rgb="FFFFFFFF"/>
      </patternFill>
    </fill>
    <fill>
      <patternFill patternType="solid">
        <fgColor theme="1" tint="0.34998626667073579"/>
        <bgColor rgb="FFFFFFFF"/>
      </patternFill>
    </fill>
    <fill>
      <patternFill patternType="solid">
        <fgColor theme="1"/>
        <bgColor rgb="FFFFFFFF"/>
      </patternFill>
    </fill>
    <fill>
      <patternFill patternType="solid">
        <fgColor theme="1" tint="0.14999847407452621"/>
        <bgColor rgb="FFFEF8E3"/>
      </patternFill>
    </fill>
  </fills>
  <borders count="6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7">
    <xf numFmtId="0" fontId="0" fillId="0" borderId="0"/>
    <xf numFmtId="0" fontId="2" fillId="0" borderId="0" applyNumberFormat="0" applyBorder="0" applyProtection="0"/>
    <xf numFmtId="0" fontId="19" fillId="0" borderId="0"/>
    <xf numFmtId="0" fontId="20" fillId="0" borderId="0" applyNumberFormat="0" applyBorder="0" applyProtection="0">
      <alignment horizontal="center"/>
    </xf>
    <xf numFmtId="0" fontId="20" fillId="0" borderId="0" applyNumberFormat="0" applyBorder="0" applyProtection="0">
      <alignment horizontal="center" textRotation="90"/>
    </xf>
    <xf numFmtId="0" fontId="21" fillId="0" borderId="0" applyNumberFormat="0" applyBorder="0" applyProtection="0"/>
    <xf numFmtId="165" fontId="21" fillId="0" borderId="0" applyBorder="0" applyProtection="0"/>
  </cellStyleXfs>
  <cellXfs count="217">
    <xf numFmtId="0" fontId="0" fillId="0" borderId="0" xfId="0"/>
    <xf numFmtId="0" fontId="2" fillId="6" borderId="36" xfId="1" applyFill="1" applyBorder="1"/>
    <xf numFmtId="0" fontId="2" fillId="6" borderId="37" xfId="1" applyFill="1" applyBorder="1"/>
    <xf numFmtId="0" fontId="2" fillId="3" borderId="36" xfId="1" applyFill="1" applyBorder="1"/>
    <xf numFmtId="0" fontId="3" fillId="0" borderId="0" xfId="0" applyFont="1"/>
    <xf numFmtId="164" fontId="0" fillId="0" borderId="0" xfId="0" applyNumberFormat="1"/>
    <xf numFmtId="0" fontId="0" fillId="0" borderId="0" xfId="0" applyAlignment="1">
      <alignment horizontal="center" vertical="center"/>
    </xf>
    <xf numFmtId="0" fontId="8" fillId="3" borderId="11" xfId="0" applyFont="1" applyFill="1" applyBorder="1" applyAlignment="1">
      <alignment vertical="center" wrapText="1" shrinkToFit="1"/>
    </xf>
    <xf numFmtId="0" fontId="6" fillId="3" borderId="30" xfId="0" applyFont="1" applyFill="1" applyBorder="1" applyAlignment="1">
      <alignment horizontal="center" vertical="center"/>
    </xf>
    <xf numFmtId="0" fontId="12" fillId="0" borderId="12" xfId="0" applyFont="1" applyBorder="1" applyAlignment="1">
      <alignment vertical="center" wrapText="1"/>
    </xf>
    <xf numFmtId="0" fontId="2" fillId="3" borderId="40" xfId="1" applyFill="1" applyBorder="1"/>
    <xf numFmtId="0" fontId="12" fillId="0" borderId="18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6" fillId="3" borderId="7" xfId="0" applyFont="1" applyFill="1" applyBorder="1" applyAlignment="1">
      <alignment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4" borderId="14" xfId="0" applyFont="1" applyFill="1" applyBorder="1" applyAlignment="1">
      <alignment vertical="center" wrapText="1"/>
    </xf>
    <xf numFmtId="14" fontId="5" fillId="4" borderId="15" xfId="0" applyNumberFormat="1" applyFont="1" applyFill="1" applyBorder="1" applyAlignment="1">
      <alignment horizontal="center" vertical="center" wrapText="1"/>
    </xf>
    <xf numFmtId="14" fontId="5" fillId="4" borderId="15" xfId="0" applyNumberFormat="1" applyFont="1" applyFill="1" applyBorder="1" applyAlignment="1">
      <alignment vertical="center" wrapText="1"/>
    </xf>
    <xf numFmtId="164" fontId="5" fillId="4" borderId="15" xfId="0" applyNumberFormat="1" applyFont="1" applyFill="1" applyBorder="1" applyAlignment="1">
      <alignment horizontal="center" vertical="center" wrapText="1"/>
    </xf>
    <xf numFmtId="0" fontId="5" fillId="4" borderId="25" xfId="0" applyFont="1" applyFill="1" applyBorder="1" applyAlignment="1">
      <alignment horizontal="center" vertical="center" wrapText="1"/>
    </xf>
    <xf numFmtId="0" fontId="6" fillId="8" borderId="31" xfId="0" applyFont="1" applyFill="1" applyBorder="1" applyAlignment="1">
      <alignment vertical="center"/>
    </xf>
    <xf numFmtId="0" fontId="8" fillId="3" borderId="32" xfId="0" applyFont="1" applyFill="1" applyBorder="1" applyAlignment="1">
      <alignment vertical="center" wrapText="1" shrinkToFit="1"/>
    </xf>
    <xf numFmtId="0" fontId="6" fillId="3" borderId="12" xfId="0" applyFont="1" applyFill="1" applyBorder="1" applyAlignment="1">
      <alignment vertical="center" wrapText="1"/>
    </xf>
    <xf numFmtId="0" fontId="2" fillId="3" borderId="56" xfId="1" applyFill="1" applyBorder="1"/>
    <xf numFmtId="0" fontId="2" fillId="0" borderId="36" xfId="1" applyBorder="1"/>
    <xf numFmtId="0" fontId="2" fillId="0" borderId="0" xfId="1"/>
    <xf numFmtId="0" fontId="5" fillId="4" borderId="32" xfId="0" applyFont="1" applyFill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47" xfId="0" applyFont="1" applyBorder="1" applyAlignment="1">
      <alignment vertical="center" wrapText="1"/>
    </xf>
    <xf numFmtId="0" fontId="12" fillId="0" borderId="30" xfId="0" applyFont="1" applyBorder="1" applyAlignment="1">
      <alignment vertical="center" wrapText="1"/>
    </xf>
    <xf numFmtId="0" fontId="12" fillId="0" borderId="30" xfId="0" applyFont="1" applyBorder="1" applyAlignment="1">
      <alignment horizontal="center" vertical="center" wrapText="1"/>
    </xf>
    <xf numFmtId="0" fontId="13" fillId="7" borderId="57" xfId="0" applyFont="1" applyFill="1" applyBorder="1" applyAlignment="1">
      <alignment horizontal="center" vertical="center"/>
    </xf>
    <xf numFmtId="0" fontId="13" fillId="7" borderId="58" xfId="0" applyFont="1" applyFill="1" applyBorder="1" applyAlignment="1">
      <alignment horizontal="center" vertical="center"/>
    </xf>
    <xf numFmtId="0" fontId="13" fillId="7" borderId="58" xfId="0" applyFont="1" applyFill="1" applyBorder="1" applyAlignment="1">
      <alignment horizontal="center" vertical="center" wrapText="1"/>
    </xf>
    <xf numFmtId="0" fontId="13" fillId="7" borderId="59" xfId="0" applyFont="1" applyFill="1" applyBorder="1" applyAlignment="1">
      <alignment horizontal="center" vertical="center"/>
    </xf>
    <xf numFmtId="0" fontId="13" fillId="7" borderId="60" xfId="0" applyFont="1" applyFill="1" applyBorder="1" applyAlignment="1">
      <alignment horizontal="center" vertical="center"/>
    </xf>
    <xf numFmtId="0" fontId="15" fillId="4" borderId="18" xfId="0" applyFont="1" applyFill="1" applyBorder="1" applyAlignment="1">
      <alignment horizontal="center" vertical="center" wrapText="1"/>
    </xf>
    <xf numFmtId="0" fontId="15" fillId="4" borderId="12" xfId="0" applyFont="1" applyFill="1" applyBorder="1" applyAlignment="1">
      <alignment horizontal="center" vertical="center" wrapText="1"/>
    </xf>
    <xf numFmtId="0" fontId="15" fillId="4" borderId="13" xfId="0" applyFont="1" applyFill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 wrapText="1"/>
    </xf>
    <xf numFmtId="0" fontId="15" fillId="3" borderId="12" xfId="0" applyFont="1" applyFill="1" applyBorder="1" applyAlignment="1">
      <alignment horizontal="center" vertical="center" wrapText="1"/>
    </xf>
    <xf numFmtId="0" fontId="15" fillId="3" borderId="13" xfId="0" applyFont="1" applyFill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5" fillId="3" borderId="18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3" borderId="53" xfId="0" applyFont="1" applyFill="1" applyBorder="1" applyAlignment="1">
      <alignment horizontal="center" vertical="center" wrapText="1"/>
    </xf>
    <xf numFmtId="0" fontId="16" fillId="9" borderId="44" xfId="0" applyFont="1" applyFill="1" applyBorder="1" applyAlignment="1">
      <alignment horizontal="center" vertical="center" wrapText="1"/>
    </xf>
    <xf numFmtId="0" fontId="16" fillId="9" borderId="0" xfId="0" applyFont="1" applyFill="1" applyAlignment="1">
      <alignment horizontal="center" vertical="center" wrapText="1"/>
    </xf>
    <xf numFmtId="0" fontId="16" fillId="9" borderId="9" xfId="0" applyFont="1" applyFill="1" applyBorder="1" applyAlignment="1">
      <alignment horizontal="center" vertical="center" wrapText="1"/>
    </xf>
    <xf numFmtId="0" fontId="15" fillId="4" borderId="29" xfId="0" applyFont="1" applyFill="1" applyBorder="1" applyAlignment="1">
      <alignment horizontal="center" vertical="center" wrapText="1"/>
    </xf>
    <xf numFmtId="0" fontId="15" fillId="4" borderId="30" xfId="0" applyFont="1" applyFill="1" applyBorder="1" applyAlignment="1">
      <alignment horizontal="center" vertical="center" wrapText="1"/>
    </xf>
    <xf numFmtId="0" fontId="15" fillId="4" borderId="31" xfId="0" applyFont="1" applyFill="1" applyBorder="1" applyAlignment="1">
      <alignment horizontal="center" vertical="center" wrapText="1"/>
    </xf>
    <xf numFmtId="0" fontId="15" fillId="3" borderId="11" xfId="0" applyFont="1" applyFill="1" applyBorder="1" applyAlignment="1">
      <alignment horizontal="center" vertical="center" wrapText="1"/>
    </xf>
    <xf numFmtId="0" fontId="15" fillId="5" borderId="14" xfId="0" applyFont="1" applyFill="1" applyBorder="1" applyAlignment="1">
      <alignment horizontal="center" vertical="center" wrapText="1"/>
    </xf>
    <xf numFmtId="0" fontId="15" fillId="5" borderId="15" xfId="0" applyFont="1" applyFill="1" applyBorder="1" applyAlignment="1">
      <alignment horizontal="center" vertical="center" wrapText="1"/>
    </xf>
    <xf numFmtId="0" fontId="15" fillId="5" borderId="25" xfId="0" applyFont="1" applyFill="1" applyBorder="1" applyAlignment="1">
      <alignment horizontal="center" vertical="center" wrapText="1"/>
    </xf>
    <xf numFmtId="0" fontId="15" fillId="4" borderId="47" xfId="0" applyFont="1" applyFill="1" applyBorder="1" applyAlignment="1">
      <alignment horizontal="center" vertical="center" wrapText="1"/>
    </xf>
    <xf numFmtId="0" fontId="15" fillId="3" borderId="35" xfId="0" applyFont="1" applyFill="1" applyBorder="1" applyAlignment="1">
      <alignment horizontal="center" vertical="center" wrapText="1"/>
    </xf>
    <xf numFmtId="0" fontId="15" fillId="3" borderId="33" xfId="0" applyFont="1" applyFill="1" applyBorder="1" applyAlignment="1">
      <alignment horizontal="center" vertical="center" wrapText="1"/>
    </xf>
    <xf numFmtId="0" fontId="15" fillId="3" borderId="34" xfId="0" applyFont="1" applyFill="1" applyBorder="1" applyAlignment="1">
      <alignment horizontal="center" vertical="center" wrapText="1"/>
    </xf>
    <xf numFmtId="0" fontId="15" fillId="5" borderId="55" xfId="0" applyFont="1" applyFill="1" applyBorder="1" applyAlignment="1">
      <alignment wrapText="1"/>
    </xf>
    <xf numFmtId="0" fontId="15" fillId="5" borderId="53" xfId="0" applyFont="1" applyFill="1" applyBorder="1" applyAlignment="1">
      <alignment wrapText="1"/>
    </xf>
    <xf numFmtId="0" fontId="15" fillId="5" borderId="50" xfId="0" applyFont="1" applyFill="1" applyBorder="1" applyAlignment="1">
      <alignment wrapText="1"/>
    </xf>
    <xf numFmtId="0" fontId="15" fillId="4" borderId="7" xfId="0" applyFont="1" applyFill="1" applyBorder="1" applyAlignment="1">
      <alignment horizontal="center" vertical="center" wrapText="1"/>
    </xf>
    <xf numFmtId="0" fontId="15" fillId="4" borderId="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15" fillId="4" borderId="11" xfId="0" applyFont="1" applyFill="1" applyBorder="1" applyAlignment="1">
      <alignment horizontal="center" vertical="center" wrapText="1"/>
    </xf>
    <xf numFmtId="0" fontId="15" fillId="5" borderId="7" xfId="0" applyFont="1" applyFill="1" applyBorder="1" applyAlignment="1">
      <alignment wrapText="1"/>
    </xf>
    <xf numFmtId="0" fontId="15" fillId="5" borderId="8" xfId="0" applyFont="1" applyFill="1" applyBorder="1" applyAlignment="1">
      <alignment wrapText="1"/>
    </xf>
    <xf numFmtId="0" fontId="15" fillId="5" borderId="16" xfId="0" applyFont="1" applyFill="1" applyBorder="1" applyAlignment="1">
      <alignment wrapText="1"/>
    </xf>
    <xf numFmtId="0" fontId="17" fillId="3" borderId="12" xfId="0" applyFont="1" applyFill="1" applyBorder="1" applyAlignment="1">
      <alignment vertical="center" wrapText="1"/>
    </xf>
    <xf numFmtId="0" fontId="17" fillId="8" borderId="13" xfId="0" applyFont="1" applyFill="1" applyBorder="1" applyAlignment="1">
      <alignment horizontal="center" vertical="center" wrapText="1"/>
    </xf>
    <xf numFmtId="0" fontId="17" fillId="3" borderId="33" xfId="0" applyFont="1" applyFill="1" applyBorder="1" applyAlignment="1">
      <alignment vertical="center" wrapText="1"/>
    </xf>
    <xf numFmtId="0" fontId="17" fillId="8" borderId="34" xfId="0" applyFont="1" applyFill="1" applyBorder="1" applyAlignment="1">
      <alignment horizontal="center" vertical="center" wrapText="1"/>
    </xf>
    <xf numFmtId="0" fontId="18" fillId="0" borderId="19" xfId="0" applyFont="1" applyBorder="1" applyAlignment="1">
      <alignment vertical="center" wrapText="1"/>
    </xf>
    <xf numFmtId="0" fontId="18" fillId="0" borderId="48" xfId="0" applyFont="1" applyBorder="1" applyAlignment="1">
      <alignment vertical="center" wrapText="1"/>
    </xf>
    <xf numFmtId="0" fontId="15" fillId="3" borderId="32" xfId="0" applyFont="1" applyFill="1" applyBorder="1" applyAlignment="1">
      <alignment horizontal="center" vertical="center" wrapText="1"/>
    </xf>
    <xf numFmtId="0" fontId="18" fillId="0" borderId="49" xfId="0" applyFont="1" applyBorder="1" applyAlignment="1">
      <alignment vertical="center" wrapText="1"/>
    </xf>
    <xf numFmtId="0" fontId="0" fillId="0" borderId="64" xfId="0" applyBorder="1"/>
    <xf numFmtId="0" fontId="0" fillId="0" borderId="0" xfId="0" applyAlignment="1">
      <alignment horizontal="left" vertical="center" wrapText="1"/>
    </xf>
    <xf numFmtId="0" fontId="2" fillId="0" borderId="40" xfId="1" applyBorder="1"/>
    <xf numFmtId="0" fontId="14" fillId="0" borderId="0" xfId="0" applyFont="1"/>
    <xf numFmtId="0" fontId="14" fillId="0" borderId="0" xfId="0" applyFont="1" applyAlignment="1">
      <alignment horizontal="left"/>
    </xf>
    <xf numFmtId="0" fontId="14" fillId="0" borderId="0" xfId="0" applyFont="1" applyAlignment="1">
      <alignment horizontal="left" wrapText="1"/>
    </xf>
    <xf numFmtId="0" fontId="13" fillId="7" borderId="1" xfId="0" applyFont="1" applyFill="1" applyBorder="1" applyAlignment="1">
      <alignment horizontal="center" vertical="center"/>
    </xf>
    <xf numFmtId="0" fontId="13" fillId="7" borderId="65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4" fillId="3" borderId="36" xfId="1" applyFont="1" applyFill="1" applyBorder="1"/>
    <xf numFmtId="0" fontId="2" fillId="0" borderId="56" xfId="1" applyBorder="1"/>
    <xf numFmtId="0" fontId="13" fillId="7" borderId="2" xfId="0" applyFont="1" applyFill="1" applyBorder="1" applyAlignment="1">
      <alignment horizontal="center" vertical="center"/>
    </xf>
    <xf numFmtId="0" fontId="15" fillId="4" borderId="22" xfId="0" applyFont="1" applyFill="1" applyBorder="1" applyAlignment="1">
      <alignment horizontal="center" vertical="center" wrapText="1"/>
    </xf>
    <xf numFmtId="0" fontId="15" fillId="3" borderId="22" xfId="0" applyFont="1" applyFill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15" fillId="3" borderId="66" xfId="0" applyFont="1" applyFill="1" applyBorder="1" applyAlignment="1">
      <alignment horizontal="center" vertical="center" wrapText="1"/>
    </xf>
    <xf numFmtId="0" fontId="2" fillId="0" borderId="67" xfId="1" applyBorder="1"/>
    <xf numFmtId="0" fontId="2" fillId="0" borderId="12" xfId="1" applyBorder="1"/>
    <xf numFmtId="0" fontId="3" fillId="0" borderId="12" xfId="0" applyFont="1" applyBorder="1"/>
    <xf numFmtId="0" fontId="23" fillId="3" borderId="29" xfId="0" applyFont="1" applyFill="1" applyBorder="1" applyAlignment="1">
      <alignment vertical="center"/>
    </xf>
    <xf numFmtId="164" fontId="1" fillId="3" borderId="17" xfId="0" applyNumberFormat="1" applyFont="1" applyFill="1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164" fontId="1" fillId="3" borderId="62" xfId="0" applyNumberFormat="1" applyFont="1" applyFill="1" applyBorder="1" applyAlignment="1">
      <alignment horizontal="center" vertical="center"/>
    </xf>
    <xf numFmtId="0" fontId="18" fillId="4" borderId="11" xfId="0" applyFont="1" applyFill="1" applyBorder="1" applyAlignment="1">
      <alignment horizontal="left" vertical="top" wrapText="1"/>
    </xf>
    <xf numFmtId="0" fontId="18" fillId="4" borderId="12" xfId="0" applyFont="1" applyFill="1" applyBorder="1" applyAlignment="1">
      <alignment horizontal="left" vertical="top" wrapText="1"/>
    </xf>
    <xf numFmtId="0" fontId="18" fillId="4" borderId="13" xfId="0" applyFont="1" applyFill="1" applyBorder="1" applyAlignment="1">
      <alignment horizontal="left" vertical="top" wrapText="1"/>
    </xf>
    <xf numFmtId="0" fontId="17" fillId="3" borderId="22" xfId="0" applyFont="1" applyFill="1" applyBorder="1" applyAlignment="1">
      <alignment horizontal="center" vertical="center" wrapText="1"/>
    </xf>
    <xf numFmtId="0" fontId="17" fillId="3" borderId="18" xfId="0" applyFont="1" applyFill="1" applyBorder="1" applyAlignment="1">
      <alignment horizontal="center" vertical="center" wrapText="1"/>
    </xf>
    <xf numFmtId="0" fontId="17" fillId="3" borderId="12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vertical="center" wrapText="1" shrinkToFit="1"/>
    </xf>
    <xf numFmtId="0" fontId="8" fillId="3" borderId="2" xfId="0" applyFont="1" applyFill="1" applyBorder="1" applyAlignment="1">
      <alignment vertical="center" wrapText="1" shrinkToFit="1"/>
    </xf>
    <xf numFmtId="0" fontId="8" fillId="3" borderId="49" xfId="0" applyFont="1" applyFill="1" applyBorder="1" applyAlignment="1">
      <alignment vertical="center" wrapText="1" shrinkToFit="1"/>
    </xf>
    <xf numFmtId="0" fontId="8" fillId="3" borderId="24" xfId="0" applyFont="1" applyFill="1" applyBorder="1" applyAlignment="1">
      <alignment vertical="center" wrapText="1" shrinkToFit="1"/>
    </xf>
    <xf numFmtId="0" fontId="7" fillId="8" borderId="50" xfId="0" applyFont="1" applyFill="1" applyBorder="1" applyAlignment="1">
      <alignment horizontal="center" vertical="center" wrapText="1"/>
    </xf>
    <xf numFmtId="0" fontId="7" fillId="8" borderId="31" xfId="0" applyFont="1" applyFill="1" applyBorder="1" applyAlignment="1">
      <alignment horizontal="center" vertical="center" wrapText="1"/>
    </xf>
    <xf numFmtId="0" fontId="24" fillId="3" borderId="1" xfId="0" applyFont="1" applyFill="1" applyBorder="1" applyAlignment="1">
      <alignment horizontal="right" vertical="center" wrapText="1"/>
    </xf>
    <xf numFmtId="0" fontId="24" fillId="3" borderId="2" xfId="0" applyFont="1" applyFill="1" applyBorder="1" applyAlignment="1">
      <alignment horizontal="right" vertical="center" wrapText="1"/>
    </xf>
    <xf numFmtId="0" fontId="24" fillId="3" borderId="3" xfId="0" applyFont="1" applyFill="1" applyBorder="1" applyAlignment="1">
      <alignment horizontal="right" vertical="center" wrapText="1"/>
    </xf>
    <xf numFmtId="0" fontId="24" fillId="3" borderId="44" xfId="0" applyFont="1" applyFill="1" applyBorder="1" applyAlignment="1">
      <alignment horizontal="right" vertical="center" wrapText="1"/>
    </xf>
    <xf numFmtId="0" fontId="24" fillId="3" borderId="0" xfId="0" applyFont="1" applyFill="1" applyAlignment="1">
      <alignment horizontal="right" vertical="center" wrapText="1"/>
    </xf>
    <xf numFmtId="0" fontId="24" fillId="3" borderId="9" xfId="0" applyFont="1" applyFill="1" applyBorder="1" applyAlignment="1">
      <alignment horizontal="right" vertical="center" wrapText="1"/>
    </xf>
    <xf numFmtId="0" fontId="24" fillId="3" borderId="41" xfId="0" applyFont="1" applyFill="1" applyBorder="1" applyAlignment="1">
      <alignment horizontal="right" vertical="center" wrapText="1"/>
    </xf>
    <xf numFmtId="0" fontId="24" fillId="3" borderId="45" xfId="0" applyFont="1" applyFill="1" applyBorder="1" applyAlignment="1">
      <alignment horizontal="right" vertical="center" wrapText="1"/>
    </xf>
    <xf numFmtId="0" fontId="24" fillId="3" borderId="46" xfId="0" applyFont="1" applyFill="1" applyBorder="1" applyAlignment="1">
      <alignment horizontal="right" vertical="center" wrapText="1"/>
    </xf>
    <xf numFmtId="0" fontId="15" fillId="4" borderId="1" xfId="0" applyFont="1" applyFill="1" applyBorder="1" applyAlignment="1">
      <alignment horizontal="center" vertical="center" wrapText="1"/>
    </xf>
    <xf numFmtId="0" fontId="15" fillId="4" borderId="2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center" vertical="center" wrapText="1"/>
    </xf>
    <xf numFmtId="0" fontId="15" fillId="4" borderId="44" xfId="0" applyFont="1" applyFill="1" applyBorder="1" applyAlignment="1">
      <alignment horizontal="center" vertical="center" wrapText="1"/>
    </xf>
    <xf numFmtId="0" fontId="15" fillId="4" borderId="0" xfId="0" applyFont="1" applyFill="1" applyAlignment="1">
      <alignment horizontal="center" vertical="center" wrapText="1"/>
    </xf>
    <xf numFmtId="0" fontId="15" fillId="4" borderId="9" xfId="0" applyFont="1" applyFill="1" applyBorder="1" applyAlignment="1">
      <alignment horizontal="center" vertical="center" wrapText="1"/>
    </xf>
    <xf numFmtId="0" fontId="15" fillId="4" borderId="41" xfId="0" applyFont="1" applyFill="1" applyBorder="1" applyAlignment="1">
      <alignment horizontal="center" vertical="center" wrapText="1"/>
    </xf>
    <xf numFmtId="0" fontId="15" fillId="4" borderId="45" xfId="0" applyFont="1" applyFill="1" applyBorder="1" applyAlignment="1">
      <alignment horizontal="center" vertical="center" wrapText="1"/>
    </xf>
    <xf numFmtId="0" fontId="15" fillId="4" borderId="46" xfId="0" applyFont="1" applyFill="1" applyBorder="1" applyAlignment="1">
      <alignment horizontal="center" vertical="center" wrapText="1"/>
    </xf>
    <xf numFmtId="0" fontId="17" fillId="3" borderId="42" xfId="0" applyFont="1" applyFill="1" applyBorder="1" applyAlignment="1">
      <alignment horizontal="center" vertical="center" wrapText="1"/>
    </xf>
    <xf numFmtId="0" fontId="17" fillId="3" borderId="35" xfId="0" applyFont="1" applyFill="1" applyBorder="1" applyAlignment="1">
      <alignment horizontal="center" vertical="center" wrapText="1"/>
    </xf>
    <xf numFmtId="0" fontId="22" fillId="3" borderId="38" xfId="0" applyFont="1" applyFill="1" applyBorder="1" applyAlignment="1">
      <alignment horizontal="left" vertical="top" wrapText="1"/>
    </xf>
    <xf numFmtId="0" fontId="22" fillId="3" borderId="39" xfId="0" applyFont="1" applyFill="1" applyBorder="1" applyAlignment="1">
      <alignment horizontal="left" vertical="top" wrapText="1"/>
    </xf>
    <xf numFmtId="0" fontId="24" fillId="3" borderId="26" xfId="0" applyFont="1" applyFill="1" applyBorder="1" applyAlignment="1">
      <alignment vertical="center" wrapText="1"/>
    </xf>
    <xf numFmtId="0" fontId="24" fillId="3" borderId="27" xfId="0" applyFont="1" applyFill="1" applyBorder="1" applyAlignment="1">
      <alignment vertical="center" wrapText="1"/>
    </xf>
    <xf numFmtId="0" fontId="24" fillId="3" borderId="28" xfId="0" applyFont="1" applyFill="1" applyBorder="1" applyAlignment="1">
      <alignment vertical="center" wrapText="1"/>
    </xf>
    <xf numFmtId="0" fontId="8" fillId="3" borderId="48" xfId="0" applyFont="1" applyFill="1" applyBorder="1" applyAlignment="1">
      <alignment vertical="center" wrapText="1" shrinkToFit="1"/>
    </xf>
    <xf numFmtId="0" fontId="8" fillId="3" borderId="23" xfId="0" applyFont="1" applyFill="1" applyBorder="1" applyAlignment="1">
      <alignment vertical="center" wrapText="1" shrinkToFit="1"/>
    </xf>
    <xf numFmtId="0" fontId="8" fillId="3" borderId="41" xfId="0" applyFont="1" applyFill="1" applyBorder="1" applyAlignment="1">
      <alignment vertical="center" wrapText="1" shrinkToFit="1"/>
    </xf>
    <xf numFmtId="0" fontId="8" fillId="3" borderId="45" xfId="0" applyFont="1" applyFill="1" applyBorder="1" applyAlignment="1">
      <alignment vertical="center" wrapText="1" shrinkToFit="1"/>
    </xf>
    <xf numFmtId="0" fontId="7" fillId="8" borderId="34" xfId="0" applyFont="1" applyFill="1" applyBorder="1" applyAlignment="1">
      <alignment horizontal="center" vertical="center" wrapText="1"/>
    </xf>
    <xf numFmtId="0" fontId="7" fillId="8" borderId="51" xfId="0" applyFont="1" applyFill="1" applyBorder="1" applyAlignment="1">
      <alignment horizontal="center" vertical="center" wrapText="1"/>
    </xf>
    <xf numFmtId="0" fontId="23" fillId="3" borderId="26" xfId="0" applyFont="1" applyFill="1" applyBorder="1" applyAlignment="1">
      <alignment vertical="center" wrapText="1"/>
    </xf>
    <xf numFmtId="0" fontId="23" fillId="3" borderId="27" xfId="0" applyFont="1" applyFill="1" applyBorder="1" applyAlignment="1">
      <alignment vertical="center" wrapText="1"/>
    </xf>
    <xf numFmtId="0" fontId="23" fillId="3" borderId="54" xfId="0" applyFont="1" applyFill="1" applyBorder="1" applyAlignment="1">
      <alignment vertical="center" wrapText="1"/>
    </xf>
    <xf numFmtId="0" fontId="23" fillId="3" borderId="4" xfId="0" applyFont="1" applyFill="1" applyBorder="1" applyAlignment="1">
      <alignment vertical="center"/>
    </xf>
    <xf numFmtId="0" fontId="23" fillId="3" borderId="5" xfId="0" applyFont="1" applyFill="1" applyBorder="1" applyAlignment="1">
      <alignment vertical="center"/>
    </xf>
    <xf numFmtId="0" fontId="23" fillId="3" borderId="6" xfId="0" applyFont="1" applyFill="1" applyBorder="1" applyAlignment="1">
      <alignment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23" fillId="3" borderId="0" xfId="0" applyFont="1" applyFill="1" applyAlignment="1">
      <alignment horizontal="center" vertical="center" wrapText="1"/>
    </xf>
    <xf numFmtId="0" fontId="27" fillId="0" borderId="0" xfId="0" applyFont="1" applyAlignment="1">
      <alignment wrapText="1"/>
    </xf>
    <xf numFmtId="0" fontId="27" fillId="0" borderId="9" xfId="0" applyFont="1" applyBorder="1" applyAlignment="1">
      <alignment wrapText="1"/>
    </xf>
    <xf numFmtId="0" fontId="28" fillId="0" borderId="0" xfId="0" applyFont="1" applyAlignment="1">
      <alignment wrapText="1"/>
    </xf>
    <xf numFmtId="0" fontId="23" fillId="3" borderId="10" xfId="0" applyFont="1" applyFill="1" applyBorder="1" applyAlignment="1">
      <alignment horizontal="center" vertical="center" wrapText="1"/>
    </xf>
    <xf numFmtId="0" fontId="5" fillId="3" borderId="18" xfId="0" applyFont="1" applyFill="1" applyBorder="1" applyAlignment="1">
      <alignment vertical="center" wrapText="1"/>
    </xf>
    <xf numFmtId="0" fontId="5" fillId="3" borderId="33" xfId="0" applyFont="1" applyFill="1" applyBorder="1" applyAlignment="1">
      <alignment vertical="center" wrapText="1"/>
    </xf>
    <xf numFmtId="0" fontId="6" fillId="4" borderId="15" xfId="0" applyFont="1" applyFill="1" applyBorder="1" applyAlignment="1">
      <alignment horizontal="left" vertical="center" wrapText="1"/>
    </xf>
    <xf numFmtId="0" fontId="6" fillId="3" borderId="8" xfId="0" applyFont="1" applyFill="1" applyBorder="1" applyAlignment="1">
      <alignment horizontal="left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5" fillId="3" borderId="17" xfId="0" applyFont="1" applyFill="1" applyBorder="1" applyAlignment="1">
      <alignment horizontal="center" vertical="center" wrapText="1"/>
    </xf>
    <xf numFmtId="0" fontId="5" fillId="4" borderId="20" xfId="0" applyFont="1" applyFill="1" applyBorder="1" applyAlignment="1">
      <alignment vertical="center" wrapText="1"/>
    </xf>
    <xf numFmtId="0" fontId="5" fillId="4" borderId="24" xfId="0" applyFont="1" applyFill="1" applyBorder="1" applyAlignment="1">
      <alignment vertical="center" wrapText="1"/>
    </xf>
    <xf numFmtId="0" fontId="5" fillId="4" borderId="21" xfId="0" applyFont="1" applyFill="1" applyBorder="1" applyAlignment="1">
      <alignment vertical="center" wrapText="1"/>
    </xf>
    <xf numFmtId="0" fontId="5" fillId="10" borderId="22" xfId="0" applyFont="1" applyFill="1" applyBorder="1" applyAlignment="1">
      <alignment vertical="center" wrapText="1"/>
    </xf>
    <xf numFmtId="0" fontId="5" fillId="10" borderId="20" xfId="0" applyFont="1" applyFill="1" applyBorder="1" applyAlignment="1">
      <alignment vertical="center" wrapText="1"/>
    </xf>
    <xf numFmtId="0" fontId="5" fillId="10" borderId="21" xfId="0" applyFont="1" applyFill="1" applyBorder="1" applyAlignment="1">
      <alignment vertical="center" wrapText="1"/>
    </xf>
    <xf numFmtId="0" fontId="6" fillId="3" borderId="30" xfId="0" applyFont="1" applyFill="1" applyBorder="1" applyAlignment="1">
      <alignment horizontal="center" vertical="center"/>
    </xf>
    <xf numFmtId="0" fontId="18" fillId="12" borderId="1" xfId="0" applyFont="1" applyFill="1" applyBorder="1" applyAlignment="1">
      <alignment horizontal="center" wrapText="1"/>
    </xf>
    <xf numFmtId="0" fontId="18" fillId="12" borderId="2" xfId="0" applyFont="1" applyFill="1" applyBorder="1" applyAlignment="1">
      <alignment horizontal="center" wrapText="1"/>
    </xf>
    <xf numFmtId="0" fontId="18" fillId="12" borderId="3" xfId="0" applyFont="1" applyFill="1" applyBorder="1" applyAlignment="1">
      <alignment horizontal="center" wrapText="1"/>
    </xf>
    <xf numFmtId="0" fontId="18" fillId="3" borderId="11" xfId="0" applyFont="1" applyFill="1" applyBorder="1" applyAlignment="1">
      <alignment vertical="center" wrapText="1"/>
    </xf>
    <xf numFmtId="0" fontId="18" fillId="3" borderId="12" xfId="0" applyFont="1" applyFill="1" applyBorder="1" applyAlignment="1">
      <alignment vertical="center" wrapText="1"/>
    </xf>
    <xf numFmtId="0" fontId="18" fillId="3" borderId="13" xfId="0" applyFont="1" applyFill="1" applyBorder="1" applyAlignment="1">
      <alignment vertical="center" wrapText="1"/>
    </xf>
    <xf numFmtId="0" fontId="23" fillId="3" borderId="28" xfId="0" applyFont="1" applyFill="1" applyBorder="1" applyAlignment="1">
      <alignment vertical="center" wrapText="1"/>
    </xf>
    <xf numFmtId="0" fontId="18" fillId="3" borderId="32" xfId="0" applyFont="1" applyFill="1" applyBorder="1" applyAlignment="1">
      <alignment vertical="center" wrapText="1"/>
    </xf>
    <xf numFmtId="0" fontId="18" fillId="3" borderId="33" xfId="0" applyFont="1" applyFill="1" applyBorder="1" applyAlignment="1">
      <alignment vertical="center" wrapText="1"/>
    </xf>
    <xf numFmtId="0" fontId="18" fillId="3" borderId="34" xfId="0" applyFont="1" applyFill="1" applyBorder="1" applyAlignment="1">
      <alignment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6" xfId="0" applyFont="1" applyFill="1" applyBorder="1" applyAlignment="1">
      <alignment horizontal="center" vertical="center" wrapText="1"/>
    </xf>
    <xf numFmtId="0" fontId="18" fillId="4" borderId="1" xfId="0" applyFont="1" applyFill="1" applyBorder="1" applyAlignment="1">
      <alignment horizontal="left" vertical="top" wrapText="1"/>
    </xf>
    <xf numFmtId="0" fontId="18" fillId="4" borderId="2" xfId="0" applyFont="1" applyFill="1" applyBorder="1" applyAlignment="1">
      <alignment horizontal="left" vertical="top" wrapText="1"/>
    </xf>
    <xf numFmtId="0" fontId="18" fillId="4" borderId="3" xfId="0" applyFont="1" applyFill="1" applyBorder="1" applyAlignment="1">
      <alignment horizontal="left" vertical="top" wrapText="1"/>
    </xf>
    <xf numFmtId="0" fontId="18" fillId="4" borderId="44" xfId="0" applyFont="1" applyFill="1" applyBorder="1" applyAlignment="1">
      <alignment horizontal="left" vertical="top" wrapText="1"/>
    </xf>
    <xf numFmtId="0" fontId="18" fillId="4" borderId="0" xfId="0" applyFont="1" applyFill="1" applyAlignment="1">
      <alignment horizontal="left" vertical="top" wrapText="1"/>
    </xf>
    <xf numFmtId="0" fontId="18" fillId="4" borderId="9" xfId="0" applyFont="1" applyFill="1" applyBorder="1" applyAlignment="1">
      <alignment horizontal="left" vertical="top" wrapText="1"/>
    </xf>
    <xf numFmtId="0" fontId="18" fillId="4" borderId="41" xfId="0" applyFont="1" applyFill="1" applyBorder="1" applyAlignment="1">
      <alignment horizontal="left" vertical="top" wrapText="1"/>
    </xf>
    <xf numFmtId="0" fontId="18" fillId="4" borderId="45" xfId="0" applyFont="1" applyFill="1" applyBorder="1" applyAlignment="1">
      <alignment horizontal="left" vertical="top" wrapText="1"/>
    </xf>
    <xf numFmtId="0" fontId="18" fillId="4" borderId="46" xfId="0" applyFont="1" applyFill="1" applyBorder="1" applyAlignment="1">
      <alignment horizontal="left" vertical="top" wrapText="1"/>
    </xf>
    <xf numFmtId="0" fontId="25" fillId="3" borderId="5" xfId="0" applyFont="1" applyFill="1" applyBorder="1" applyAlignment="1">
      <alignment horizontal="center" vertical="center" wrapText="1"/>
    </xf>
    <xf numFmtId="0" fontId="25" fillId="3" borderId="6" xfId="0" applyFont="1" applyFill="1" applyBorder="1" applyAlignment="1">
      <alignment horizontal="center" vertical="center" wrapText="1"/>
    </xf>
    <xf numFmtId="0" fontId="18" fillId="11" borderId="5" xfId="0" applyFont="1" applyFill="1" applyBorder="1" applyAlignment="1">
      <alignment horizontal="center" vertical="center" wrapText="1"/>
    </xf>
    <xf numFmtId="0" fontId="18" fillId="11" borderId="6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wrapText="1"/>
    </xf>
    <xf numFmtId="0" fontId="6" fillId="4" borderId="2" xfId="0" applyFont="1" applyFill="1" applyBorder="1" applyAlignment="1">
      <alignment horizontal="center" wrapText="1"/>
    </xf>
    <xf numFmtId="0" fontId="6" fillId="4" borderId="3" xfId="0" applyFont="1" applyFill="1" applyBorder="1" applyAlignment="1">
      <alignment horizontal="center" wrapText="1"/>
    </xf>
    <xf numFmtId="0" fontId="6" fillId="4" borderId="44" xfId="0" applyFont="1" applyFill="1" applyBorder="1" applyAlignment="1">
      <alignment horizontal="center" wrapText="1"/>
    </xf>
    <xf numFmtId="0" fontId="6" fillId="4" borderId="0" xfId="0" applyFont="1" applyFill="1" applyAlignment="1">
      <alignment horizontal="center" wrapText="1"/>
    </xf>
    <xf numFmtId="0" fontId="6" fillId="4" borderId="9" xfId="0" applyFont="1" applyFill="1" applyBorder="1" applyAlignment="1">
      <alignment horizontal="center" wrapText="1"/>
    </xf>
    <xf numFmtId="0" fontId="18" fillId="0" borderId="62" xfId="0" applyFont="1" applyBorder="1" applyAlignment="1">
      <alignment vertical="center" wrapText="1"/>
    </xf>
    <xf numFmtId="0" fontId="18" fillId="0" borderId="39" xfId="0" applyFont="1" applyBorder="1" applyAlignment="1">
      <alignment vertical="center" wrapText="1"/>
    </xf>
    <xf numFmtId="0" fontId="18" fillId="0" borderId="17" xfId="0" applyFont="1" applyBorder="1" applyAlignment="1">
      <alignment vertical="center" wrapText="1"/>
    </xf>
    <xf numFmtId="0" fontId="18" fillId="0" borderId="22" xfId="0" applyFont="1" applyBorder="1" applyAlignment="1">
      <alignment vertical="center" wrapText="1"/>
    </xf>
    <xf numFmtId="0" fontId="18" fillId="0" borderId="20" xfId="0" applyFont="1" applyBorder="1" applyAlignment="1">
      <alignment vertical="center" wrapText="1"/>
    </xf>
    <xf numFmtId="0" fontId="18" fillId="0" borderId="18" xfId="0" applyFont="1" applyBorder="1" applyAlignment="1">
      <alignment vertical="center" wrapText="1"/>
    </xf>
    <xf numFmtId="0" fontId="18" fillId="0" borderId="63" xfId="0" applyFont="1" applyBorder="1" applyAlignment="1">
      <alignment vertical="center" wrapText="1"/>
    </xf>
    <xf numFmtId="0" fontId="18" fillId="0" borderId="43" xfId="0" applyFont="1" applyBorder="1" applyAlignment="1">
      <alignment vertical="center" wrapText="1"/>
    </xf>
    <xf numFmtId="0" fontId="18" fillId="0" borderId="64" xfId="0" applyFont="1" applyBorder="1" applyAlignment="1">
      <alignment vertical="center" wrapText="1"/>
    </xf>
    <xf numFmtId="0" fontId="18" fillId="0" borderId="61" xfId="0" applyFont="1" applyBorder="1" applyAlignment="1">
      <alignment vertical="center" wrapText="1"/>
    </xf>
    <xf numFmtId="0" fontId="18" fillId="0" borderId="21" xfId="0" applyFont="1" applyBorder="1" applyAlignment="1">
      <alignment vertical="center" wrapText="1"/>
    </xf>
    <xf numFmtId="0" fontId="18" fillId="0" borderId="52" xfId="0" applyFont="1" applyBorder="1" applyAlignment="1">
      <alignment vertical="center" wrapText="1"/>
    </xf>
  </cellXfs>
  <cellStyles count="7">
    <cellStyle name="Excel Built-in Normal" xfId="1" xr:uid="{AB81754C-D72A-4B03-994C-4097B7240941}"/>
    <cellStyle name="Heading" xfId="3" xr:uid="{F1D6341A-4C42-43EA-B278-DDCCD6C4BB5E}"/>
    <cellStyle name="Heading1" xfId="4" xr:uid="{24B38A4D-117C-476D-8A9E-3471835321AB}"/>
    <cellStyle name="Normal" xfId="0" builtinId="0"/>
    <cellStyle name="Normal 2" xfId="2" xr:uid="{0CC91137-A531-4039-AC9C-FA9D4FE7D221}"/>
    <cellStyle name="Result" xfId="5" xr:uid="{4AF505E1-E029-4471-9C42-B0403D2E6761}"/>
    <cellStyle name="Result2" xfId="6" xr:uid="{8CB8C4C8-5F9F-4374-A5E5-D4E6310A75A9}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 Pro"/>
        <family val="2"/>
        <scheme val="none"/>
      </font>
      <alignment horizontal="general" vertical="center" textRotation="0" wrapText="1" indent="0" justifyLastLine="0" shrinkToFit="0" readingOrder="0"/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 Pro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 Pro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 Pro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 Pro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 Pro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 Pro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 Pro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 Pro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 Pro"/>
        <family val="2"/>
        <scheme val="none"/>
      </font>
      <alignment horizontal="general" vertical="center" textRotation="0" wrapText="1" indent="0" justifyLastLine="0" shrinkToFit="0" readingOrder="0"/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Verdana"/>
        <family val="2"/>
        <scheme val="none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</dxf>
  </dxfs>
  <tableStyles count="0" defaultTableStyle="TableStyleMedium2" defaultPivotStyle="PivotStyleLight16"/>
  <colors>
    <mruColors>
      <color rgb="FF00A7FF"/>
      <color rgb="FF0039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jpe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1271782</xdr:colOff>
      <xdr:row>0</xdr:row>
      <xdr:rowOff>19709</xdr:rowOff>
    </xdr:from>
    <xdr:to>
      <xdr:col>18</xdr:col>
      <xdr:colOff>143611</xdr:colOff>
      <xdr:row>1</xdr:row>
      <xdr:rowOff>38100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3432" y="19709"/>
          <a:ext cx="4121466" cy="6851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3857625</xdr:colOff>
          <xdr:row>38</xdr:row>
          <xdr:rowOff>0</xdr:rowOff>
        </xdr:from>
        <xdr:to>
          <xdr:col>2</xdr:col>
          <xdr:colOff>295275</xdr:colOff>
          <xdr:row>39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s-ES" sz="1600" b="1" i="0" u="none" strike="noStrike" baseline="0">
                  <a:solidFill>
                    <a:srgbClr val="FF0000"/>
                  </a:solidFill>
                  <a:latin typeface="Verdana Pro"/>
                </a:rPr>
                <a:t>REALIZAR PHP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330195</xdr:colOff>
          <xdr:row>0</xdr:row>
          <xdr:rowOff>66675</xdr:rowOff>
        </xdr:from>
        <xdr:to>
          <xdr:col>33</xdr:col>
          <xdr:colOff>438149</xdr:colOff>
          <xdr:row>0</xdr:row>
          <xdr:rowOff>609600</xdr:rowOff>
        </xdr:to>
        <xdr:grpSp>
          <xdr:nvGrpSpPr>
            <xdr:cNvPr id="2" name="Grupo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17094195" y="66675"/>
              <a:ext cx="5822954" cy="542925"/>
              <a:chOff x="16489140" y="66675"/>
              <a:chExt cx="5502723" cy="542925"/>
            </a:xfrm>
          </xdr:grpSpPr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16489140" y="66675"/>
                <a:ext cx="1442360" cy="5429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es-ES" sz="1600" b="1" i="0" u="none" strike="noStrike" baseline="0">
                    <a:solidFill>
                      <a:srgbClr val="000000"/>
                    </a:solidFill>
                    <a:latin typeface="Verdana Pro"/>
                  </a:rPr>
                  <a:t>GUARDAR</a:t>
                </a:r>
              </a:p>
            </xdr:txBody>
          </xdr:sp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8120632" y="66675"/>
                <a:ext cx="1445079" cy="5429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es-ES" sz="1600" b="1" i="0" u="none" strike="noStrike" baseline="0">
                    <a:solidFill>
                      <a:srgbClr val="000000"/>
                    </a:solidFill>
                    <a:latin typeface="Verdana Pro"/>
                  </a:rPr>
                  <a:t>IMPRIMIR</a:t>
                </a:r>
              </a:p>
            </xdr:txBody>
          </xdr:sp>
          <xdr:sp macro="" textlink="">
            <xdr:nvSpPr>
              <xdr:cNvPr id="1040" name="Butto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19745329" y="66675"/>
                <a:ext cx="2246534" cy="5334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es-ES" sz="1600" b="1" i="0" u="none" strike="noStrike" baseline="0">
                    <a:solidFill>
                      <a:srgbClr val="000000"/>
                    </a:solidFill>
                    <a:latin typeface="Verdana Pro"/>
                  </a:rPr>
                  <a:t>LIMPIAR DATOS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408213</xdr:colOff>
      <xdr:row>62</xdr:row>
      <xdr:rowOff>115662</xdr:rowOff>
    </xdr:from>
    <xdr:to>
      <xdr:col>14</xdr:col>
      <xdr:colOff>57824</xdr:colOff>
      <xdr:row>84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8431" t="34954" r="18586" b="34401"/>
        <a:stretch/>
      </xdr:blipFill>
      <xdr:spPr>
        <a:xfrm>
          <a:off x="408213" y="29071662"/>
          <a:ext cx="14667361" cy="4107088"/>
        </a:xfrm>
        <a:prstGeom prst="rect">
          <a:avLst/>
        </a:prstGeom>
      </xdr:spPr>
    </xdr:pic>
    <xdr:clientData/>
  </xdr:twoCellAnchor>
  <xdr:twoCellAnchor editAs="oneCell">
    <xdr:from>
      <xdr:col>7</xdr:col>
      <xdr:colOff>288820</xdr:colOff>
      <xdr:row>80</xdr:row>
      <xdr:rowOff>51582</xdr:rowOff>
    </xdr:from>
    <xdr:to>
      <xdr:col>9</xdr:col>
      <xdr:colOff>18294</xdr:colOff>
      <xdr:row>82</xdr:row>
      <xdr:rowOff>77253</xdr:rowOff>
    </xdr:to>
    <xdr:pic macro="[0]!CambiarImagen14">
      <xdr:nvPicPr>
        <xdr:cNvPr id="27" name="chkLMT2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79138" y="24626082"/>
          <a:ext cx="439520" cy="454297"/>
        </a:xfrm>
        <a:prstGeom prst="rect">
          <a:avLst/>
        </a:prstGeom>
      </xdr:spPr>
    </xdr:pic>
    <xdr:clientData/>
  </xdr:twoCellAnchor>
  <xdr:twoCellAnchor editAs="oneCell">
    <xdr:from>
      <xdr:col>7</xdr:col>
      <xdr:colOff>215051</xdr:colOff>
      <xdr:row>79</xdr:row>
      <xdr:rowOff>184972</xdr:rowOff>
    </xdr:from>
    <xdr:to>
      <xdr:col>9</xdr:col>
      <xdr:colOff>73551</xdr:colOff>
      <xdr:row>83</xdr:row>
      <xdr:rowOff>2268</xdr:rowOff>
    </xdr:to>
    <xdr:pic macro="[0]!CambiarImagen14">
      <xdr:nvPicPr>
        <xdr:cNvPr id="62" name="chkLMT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8" r="928"/>
        <a:stretch/>
      </xdr:blipFill>
      <xdr:spPr>
        <a:xfrm>
          <a:off x="12805369" y="24568972"/>
          <a:ext cx="568546" cy="579296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</xdr:col>
      <xdr:colOff>1165372</xdr:colOff>
      <xdr:row>80</xdr:row>
      <xdr:rowOff>65715</xdr:rowOff>
    </xdr:from>
    <xdr:to>
      <xdr:col>3</xdr:col>
      <xdr:colOff>1603215</xdr:colOff>
      <xdr:row>82</xdr:row>
      <xdr:rowOff>139011</xdr:rowOff>
    </xdr:to>
    <xdr:pic macro="[0]!CambiarImagen13">
      <xdr:nvPicPr>
        <xdr:cNvPr id="29" name="chkCANA2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8440" y="24640215"/>
          <a:ext cx="437843" cy="454297"/>
        </a:xfrm>
        <a:prstGeom prst="rect">
          <a:avLst/>
        </a:prstGeom>
      </xdr:spPr>
    </xdr:pic>
    <xdr:clientData/>
  </xdr:twoCellAnchor>
  <xdr:twoCellAnchor editAs="oneCell">
    <xdr:from>
      <xdr:col>3</xdr:col>
      <xdr:colOff>1084424</xdr:colOff>
      <xdr:row>80</xdr:row>
      <xdr:rowOff>6595</xdr:rowOff>
    </xdr:from>
    <xdr:to>
      <xdr:col>3</xdr:col>
      <xdr:colOff>1652970</xdr:colOff>
      <xdr:row>83</xdr:row>
      <xdr:rowOff>14390</xdr:rowOff>
    </xdr:to>
    <xdr:pic macro="[0]!CambiarImagen13">
      <xdr:nvPicPr>
        <xdr:cNvPr id="61" name="chkCANA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8" r="928"/>
        <a:stretch/>
      </xdr:blipFill>
      <xdr:spPr>
        <a:xfrm>
          <a:off x="9007492" y="24581095"/>
          <a:ext cx="568546" cy="579296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618760</xdr:colOff>
      <xdr:row>80</xdr:row>
      <xdr:rowOff>56805</xdr:rowOff>
    </xdr:from>
    <xdr:to>
      <xdr:col>1</xdr:col>
      <xdr:colOff>1056603</xdr:colOff>
      <xdr:row>82</xdr:row>
      <xdr:rowOff>130101</xdr:rowOff>
    </xdr:to>
    <xdr:pic macro="[0]!CambiarImagen12">
      <xdr:nvPicPr>
        <xdr:cNvPr id="31" name="chkPERCU2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8692" y="24631305"/>
          <a:ext cx="437843" cy="454297"/>
        </a:xfrm>
        <a:prstGeom prst="rect">
          <a:avLst/>
        </a:prstGeom>
      </xdr:spPr>
    </xdr:pic>
    <xdr:clientData/>
  </xdr:twoCellAnchor>
  <xdr:twoCellAnchor editAs="oneCell">
    <xdr:from>
      <xdr:col>1</xdr:col>
      <xdr:colOff>533706</xdr:colOff>
      <xdr:row>79</xdr:row>
      <xdr:rowOff>183240</xdr:rowOff>
    </xdr:from>
    <xdr:to>
      <xdr:col>1</xdr:col>
      <xdr:colOff>1102252</xdr:colOff>
      <xdr:row>83</xdr:row>
      <xdr:rowOff>536</xdr:rowOff>
    </xdr:to>
    <xdr:pic macro="[0]!CambiarImagen12">
      <xdr:nvPicPr>
        <xdr:cNvPr id="60" name="chkPERCU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8" r="928"/>
        <a:stretch/>
      </xdr:blipFill>
      <xdr:spPr>
        <a:xfrm>
          <a:off x="5183638" y="24567240"/>
          <a:ext cx="568546" cy="579296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699234</xdr:colOff>
      <xdr:row>80</xdr:row>
      <xdr:rowOff>55576</xdr:rowOff>
    </xdr:from>
    <xdr:to>
      <xdr:col>0</xdr:col>
      <xdr:colOff>1137077</xdr:colOff>
      <xdr:row>82</xdr:row>
      <xdr:rowOff>128872</xdr:rowOff>
    </xdr:to>
    <xdr:pic macro="[0]!CambiarImagen11">
      <xdr:nvPicPr>
        <xdr:cNvPr id="33" name="chkSDA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234" y="24630076"/>
          <a:ext cx="437843" cy="454297"/>
        </a:xfrm>
        <a:prstGeom prst="rect">
          <a:avLst/>
        </a:prstGeom>
      </xdr:spPr>
    </xdr:pic>
    <xdr:clientData/>
  </xdr:twoCellAnchor>
  <xdr:twoCellAnchor editAs="oneCell">
    <xdr:from>
      <xdr:col>0</xdr:col>
      <xdr:colOff>606442</xdr:colOff>
      <xdr:row>79</xdr:row>
      <xdr:rowOff>178044</xdr:rowOff>
    </xdr:from>
    <xdr:to>
      <xdr:col>0</xdr:col>
      <xdr:colOff>1174988</xdr:colOff>
      <xdr:row>82</xdr:row>
      <xdr:rowOff>185840</xdr:rowOff>
    </xdr:to>
    <xdr:pic macro="[0]!CambiarImagen11">
      <xdr:nvPicPr>
        <xdr:cNvPr id="59" name="chkSDA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8" r="928"/>
        <a:stretch/>
      </xdr:blipFill>
      <xdr:spPr>
        <a:xfrm>
          <a:off x="606442" y="24562044"/>
          <a:ext cx="568546" cy="579296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8</xdr:col>
      <xdr:colOff>35863</xdr:colOff>
      <xdr:row>75</xdr:row>
      <xdr:rowOff>137307</xdr:rowOff>
    </xdr:from>
    <xdr:to>
      <xdr:col>9</xdr:col>
      <xdr:colOff>120360</xdr:colOff>
      <xdr:row>78</xdr:row>
      <xdr:rowOff>18567</xdr:rowOff>
    </xdr:to>
    <xdr:pic macro="[0]!CambiarImagen10">
      <xdr:nvPicPr>
        <xdr:cNvPr id="25" name="chkHALO2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81204" y="23759307"/>
          <a:ext cx="439520" cy="452760"/>
        </a:xfrm>
        <a:prstGeom prst="rect">
          <a:avLst/>
        </a:prstGeom>
      </xdr:spPr>
    </xdr:pic>
    <xdr:clientData/>
  </xdr:twoCellAnchor>
  <xdr:twoCellAnchor editAs="oneCell">
    <xdr:from>
      <xdr:col>7</xdr:col>
      <xdr:colOff>332815</xdr:colOff>
      <xdr:row>75</xdr:row>
      <xdr:rowOff>86258</xdr:rowOff>
    </xdr:from>
    <xdr:to>
      <xdr:col>9</xdr:col>
      <xdr:colOff>191315</xdr:colOff>
      <xdr:row>78</xdr:row>
      <xdr:rowOff>94054</xdr:rowOff>
    </xdr:to>
    <xdr:pic macro="[0]!CambiarImagen10">
      <xdr:nvPicPr>
        <xdr:cNvPr id="58" name="chkHALO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8" r="928"/>
        <a:stretch/>
      </xdr:blipFill>
      <xdr:spPr>
        <a:xfrm>
          <a:off x="12923133" y="23708258"/>
          <a:ext cx="568546" cy="579296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4</xdr:col>
      <xdr:colOff>376054</xdr:colOff>
      <xdr:row>75</xdr:row>
      <xdr:rowOff>130855</xdr:rowOff>
    </xdr:from>
    <xdr:to>
      <xdr:col>5</xdr:col>
      <xdr:colOff>84159</xdr:colOff>
      <xdr:row>78</xdr:row>
      <xdr:rowOff>12115</xdr:rowOff>
    </xdr:to>
    <xdr:pic macro="[0]!CambiarImagen9">
      <xdr:nvPicPr>
        <xdr:cNvPr id="23" name="chkMAS2" hidden="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6190" y="23752855"/>
          <a:ext cx="444128" cy="452760"/>
        </a:xfrm>
        <a:prstGeom prst="rect">
          <a:avLst/>
        </a:prstGeom>
      </xdr:spPr>
    </xdr:pic>
    <xdr:clientData/>
  </xdr:twoCellAnchor>
  <xdr:twoCellAnchor editAs="oneCell">
    <xdr:from>
      <xdr:col>4</xdr:col>
      <xdr:colOff>318961</xdr:colOff>
      <xdr:row>75</xdr:row>
      <xdr:rowOff>72404</xdr:rowOff>
    </xdr:from>
    <xdr:to>
      <xdr:col>5</xdr:col>
      <xdr:colOff>151484</xdr:colOff>
      <xdr:row>78</xdr:row>
      <xdr:rowOff>80200</xdr:rowOff>
    </xdr:to>
    <xdr:pic macro="[0]!CambiarImagen9">
      <xdr:nvPicPr>
        <xdr:cNvPr id="57" name="chkMAS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8" r="928"/>
        <a:stretch/>
      </xdr:blipFill>
      <xdr:spPr>
        <a:xfrm>
          <a:off x="10069097" y="23694404"/>
          <a:ext cx="568546" cy="579296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1453664</xdr:colOff>
      <xdr:row>75</xdr:row>
      <xdr:rowOff>139765</xdr:rowOff>
    </xdr:from>
    <xdr:to>
      <xdr:col>3</xdr:col>
      <xdr:colOff>63321</xdr:colOff>
      <xdr:row>78</xdr:row>
      <xdr:rowOff>21025</xdr:rowOff>
    </xdr:to>
    <xdr:pic macro="[0]!CambiarImagen8">
      <xdr:nvPicPr>
        <xdr:cNvPr id="21" name="chkBIGO2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49664" y="23761765"/>
          <a:ext cx="436725" cy="452760"/>
        </a:xfrm>
        <a:prstGeom prst="rect">
          <a:avLst/>
        </a:prstGeom>
      </xdr:spPr>
    </xdr:pic>
    <xdr:clientData/>
  </xdr:twoCellAnchor>
  <xdr:twoCellAnchor editAs="oneCell">
    <xdr:from>
      <xdr:col>2</xdr:col>
      <xdr:colOff>1396152</xdr:colOff>
      <xdr:row>75</xdr:row>
      <xdr:rowOff>67209</xdr:rowOff>
    </xdr:from>
    <xdr:to>
      <xdr:col>3</xdr:col>
      <xdr:colOff>137630</xdr:colOff>
      <xdr:row>78</xdr:row>
      <xdr:rowOff>75005</xdr:rowOff>
    </xdr:to>
    <xdr:pic macro="[0]!CambiarImagen8">
      <xdr:nvPicPr>
        <xdr:cNvPr id="56" name="chkBIGO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8" r="928"/>
        <a:stretch/>
      </xdr:blipFill>
      <xdr:spPr>
        <a:xfrm>
          <a:off x="7492152" y="23689209"/>
          <a:ext cx="568546" cy="579296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886467</xdr:colOff>
      <xdr:row>75</xdr:row>
      <xdr:rowOff>117949</xdr:rowOff>
    </xdr:from>
    <xdr:to>
      <xdr:col>1</xdr:col>
      <xdr:colOff>1324310</xdr:colOff>
      <xdr:row>78</xdr:row>
      <xdr:rowOff>745</xdr:rowOff>
    </xdr:to>
    <xdr:pic macro="[0]!CambiarImagen7">
      <xdr:nvPicPr>
        <xdr:cNvPr id="19" name="chkCAFO2" hidden="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36399" y="23739949"/>
          <a:ext cx="437843" cy="454296"/>
        </a:xfrm>
        <a:prstGeom prst="rect">
          <a:avLst/>
        </a:prstGeom>
      </xdr:spPr>
    </xdr:pic>
    <xdr:clientData/>
  </xdr:twoCellAnchor>
  <xdr:twoCellAnchor editAs="oneCell">
    <xdr:from>
      <xdr:col>1</xdr:col>
      <xdr:colOff>819457</xdr:colOff>
      <xdr:row>75</xdr:row>
      <xdr:rowOff>53355</xdr:rowOff>
    </xdr:from>
    <xdr:to>
      <xdr:col>1</xdr:col>
      <xdr:colOff>1388003</xdr:colOff>
      <xdr:row>78</xdr:row>
      <xdr:rowOff>61151</xdr:rowOff>
    </xdr:to>
    <xdr:pic macro="[0]!CambiarImagen7">
      <xdr:nvPicPr>
        <xdr:cNvPr id="55" name="chkCAFO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8" r="928"/>
        <a:stretch/>
      </xdr:blipFill>
      <xdr:spPr>
        <a:xfrm>
          <a:off x="5469389" y="23675355"/>
          <a:ext cx="568546" cy="579296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2721608</xdr:colOff>
      <xdr:row>75</xdr:row>
      <xdr:rowOff>126859</xdr:rowOff>
    </xdr:from>
    <xdr:to>
      <xdr:col>0</xdr:col>
      <xdr:colOff>3159451</xdr:colOff>
      <xdr:row>78</xdr:row>
      <xdr:rowOff>8119</xdr:rowOff>
    </xdr:to>
    <xdr:pic macro="[0]!CambiarImagen6">
      <xdr:nvPicPr>
        <xdr:cNvPr id="17" name="chkCPAP2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608" y="23748859"/>
          <a:ext cx="437843" cy="452760"/>
        </a:xfrm>
        <a:prstGeom prst="rect">
          <a:avLst/>
        </a:prstGeom>
      </xdr:spPr>
    </xdr:pic>
    <xdr:clientData/>
  </xdr:twoCellAnchor>
  <xdr:twoCellAnchor editAs="oneCell">
    <xdr:from>
      <xdr:col>0</xdr:col>
      <xdr:colOff>2649989</xdr:colOff>
      <xdr:row>75</xdr:row>
      <xdr:rowOff>56818</xdr:rowOff>
    </xdr:from>
    <xdr:to>
      <xdr:col>0</xdr:col>
      <xdr:colOff>3218535</xdr:colOff>
      <xdr:row>78</xdr:row>
      <xdr:rowOff>64614</xdr:rowOff>
    </xdr:to>
    <xdr:pic macro="[0]!CambiarImagen6">
      <xdr:nvPicPr>
        <xdr:cNvPr id="54" name="chkCPAP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8" r="928"/>
        <a:stretch/>
      </xdr:blipFill>
      <xdr:spPr>
        <a:xfrm>
          <a:off x="2649989" y="23678818"/>
          <a:ext cx="568546" cy="579296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800518</xdr:colOff>
      <xdr:row>75</xdr:row>
      <xdr:rowOff>105044</xdr:rowOff>
    </xdr:from>
    <xdr:to>
      <xdr:col>0</xdr:col>
      <xdr:colOff>1238361</xdr:colOff>
      <xdr:row>77</xdr:row>
      <xdr:rowOff>178340</xdr:rowOff>
    </xdr:to>
    <xdr:pic macro="[0]!CambiarImagen5">
      <xdr:nvPicPr>
        <xdr:cNvPr id="15" name="chkARM2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518" y="23727044"/>
          <a:ext cx="437843" cy="454296"/>
        </a:xfrm>
        <a:prstGeom prst="rect">
          <a:avLst/>
        </a:prstGeom>
      </xdr:spPr>
    </xdr:pic>
    <xdr:clientData/>
  </xdr:twoCellAnchor>
  <xdr:twoCellAnchor editAs="oneCell">
    <xdr:from>
      <xdr:col>0</xdr:col>
      <xdr:colOff>739793</xdr:colOff>
      <xdr:row>75</xdr:row>
      <xdr:rowOff>51623</xdr:rowOff>
    </xdr:from>
    <xdr:to>
      <xdr:col>0</xdr:col>
      <xdr:colOff>1308339</xdr:colOff>
      <xdr:row>78</xdr:row>
      <xdr:rowOff>59419</xdr:rowOff>
    </xdr:to>
    <xdr:pic macro="[0]!CambiarImagen5">
      <xdr:nvPicPr>
        <xdr:cNvPr id="53" name="chkARM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8" r="928"/>
        <a:stretch/>
      </xdr:blipFill>
      <xdr:spPr>
        <a:xfrm>
          <a:off x="739793" y="23673623"/>
          <a:ext cx="568546" cy="579296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</xdr:col>
      <xdr:colOff>1647824</xdr:colOff>
      <xdr:row>67</xdr:row>
      <xdr:rowOff>183087</xdr:rowOff>
    </xdr:from>
    <xdr:to>
      <xdr:col>4</xdr:col>
      <xdr:colOff>254000</xdr:colOff>
      <xdr:row>70</xdr:row>
      <xdr:rowOff>47625</xdr:rowOff>
    </xdr:to>
    <xdr:pic macro="[0]!CambiarImagen4">
      <xdr:nvPicPr>
        <xdr:cNvPr id="13" name="chkINAP2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69449" y="24757587"/>
          <a:ext cx="431801" cy="436038"/>
        </a:xfrm>
        <a:prstGeom prst="rect">
          <a:avLst/>
        </a:prstGeom>
      </xdr:spPr>
    </xdr:pic>
    <xdr:clientData/>
  </xdr:twoCellAnchor>
  <xdr:twoCellAnchor editAs="oneCell">
    <xdr:from>
      <xdr:col>3</xdr:col>
      <xdr:colOff>1565870</xdr:colOff>
      <xdr:row>67</xdr:row>
      <xdr:rowOff>115701</xdr:rowOff>
    </xdr:from>
    <xdr:to>
      <xdr:col>4</xdr:col>
      <xdr:colOff>307348</xdr:colOff>
      <xdr:row>70</xdr:row>
      <xdr:rowOff>123497</xdr:rowOff>
    </xdr:to>
    <xdr:pic macro="[0]!CambiarImagen4">
      <xdr:nvPicPr>
        <xdr:cNvPr id="52" name="chkINAP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8" r="928"/>
        <a:stretch/>
      </xdr:blipFill>
      <xdr:spPr>
        <a:xfrm>
          <a:off x="9488938" y="22213701"/>
          <a:ext cx="568546" cy="579296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386362</xdr:colOff>
      <xdr:row>67</xdr:row>
      <xdr:rowOff>176635</xdr:rowOff>
    </xdr:from>
    <xdr:to>
      <xdr:col>2</xdr:col>
      <xdr:colOff>824205</xdr:colOff>
      <xdr:row>70</xdr:row>
      <xdr:rowOff>57895</xdr:rowOff>
    </xdr:to>
    <xdr:pic macro="[0]!CambiarImagen3">
      <xdr:nvPicPr>
        <xdr:cNvPr id="11" name="chkINCU2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2362" y="22274635"/>
          <a:ext cx="437843" cy="452760"/>
        </a:xfrm>
        <a:prstGeom prst="rect">
          <a:avLst/>
        </a:prstGeom>
      </xdr:spPr>
    </xdr:pic>
    <xdr:clientData/>
  </xdr:twoCellAnchor>
  <xdr:twoCellAnchor editAs="oneCell">
    <xdr:from>
      <xdr:col>2</xdr:col>
      <xdr:colOff>313765</xdr:colOff>
      <xdr:row>67</xdr:row>
      <xdr:rowOff>119165</xdr:rowOff>
    </xdr:from>
    <xdr:to>
      <xdr:col>2</xdr:col>
      <xdr:colOff>882311</xdr:colOff>
      <xdr:row>70</xdr:row>
      <xdr:rowOff>126961</xdr:rowOff>
    </xdr:to>
    <xdr:pic macro="[0]!CambiarImagen3">
      <xdr:nvPicPr>
        <xdr:cNvPr id="51" name="chkINCU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8" r="928"/>
        <a:stretch/>
      </xdr:blipFill>
      <xdr:spPr>
        <a:xfrm>
          <a:off x="6409765" y="22217165"/>
          <a:ext cx="568546" cy="579296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3557689</xdr:colOff>
      <xdr:row>67</xdr:row>
      <xdr:rowOff>175603</xdr:rowOff>
    </xdr:from>
    <xdr:to>
      <xdr:col>0</xdr:col>
      <xdr:colOff>3995532</xdr:colOff>
      <xdr:row>70</xdr:row>
      <xdr:rowOff>58399</xdr:rowOff>
    </xdr:to>
    <xdr:pic macro="[0]!CambiarImagen2">
      <xdr:nvPicPr>
        <xdr:cNvPr id="49" name="chkSCUNA2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7689" y="22273603"/>
          <a:ext cx="437843" cy="454296"/>
        </a:xfrm>
        <a:prstGeom prst="rect">
          <a:avLst/>
        </a:prstGeom>
      </xdr:spPr>
    </xdr:pic>
    <xdr:clientData/>
  </xdr:twoCellAnchor>
  <xdr:twoCellAnchor editAs="oneCell">
    <xdr:from>
      <xdr:col>0</xdr:col>
      <xdr:colOff>3503774</xdr:colOff>
      <xdr:row>67</xdr:row>
      <xdr:rowOff>113970</xdr:rowOff>
    </xdr:from>
    <xdr:to>
      <xdr:col>0</xdr:col>
      <xdr:colOff>4072320</xdr:colOff>
      <xdr:row>70</xdr:row>
      <xdr:rowOff>121766</xdr:rowOff>
    </xdr:to>
    <xdr:pic macro="[0]!CambiarImagen2">
      <xdr:nvPicPr>
        <xdr:cNvPr id="50" name="chkSCUNA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8" r="928"/>
        <a:stretch/>
      </xdr:blipFill>
      <xdr:spPr>
        <a:xfrm>
          <a:off x="3503774" y="22211970"/>
          <a:ext cx="568546" cy="579296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1592075</xdr:colOff>
      <xdr:row>67</xdr:row>
      <xdr:rowOff>175603</xdr:rowOff>
    </xdr:from>
    <xdr:to>
      <xdr:col>0</xdr:col>
      <xdr:colOff>2029918</xdr:colOff>
      <xdr:row>70</xdr:row>
      <xdr:rowOff>58399</xdr:rowOff>
    </xdr:to>
    <xdr:pic macro="[0]!CambiarImagen1">
      <xdr:nvPicPr>
        <xdr:cNvPr id="8" name="chkCUNA2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2075" y="22273603"/>
          <a:ext cx="437843" cy="454296"/>
        </a:xfrm>
        <a:prstGeom prst="rect">
          <a:avLst/>
        </a:prstGeom>
      </xdr:spPr>
    </xdr:pic>
    <xdr:clientData/>
  </xdr:twoCellAnchor>
  <xdr:twoCellAnchor editAs="oneCell">
    <xdr:from>
      <xdr:col>0</xdr:col>
      <xdr:colOff>1538160</xdr:colOff>
      <xdr:row>67</xdr:row>
      <xdr:rowOff>113970</xdr:rowOff>
    </xdr:from>
    <xdr:to>
      <xdr:col>0</xdr:col>
      <xdr:colOff>2106706</xdr:colOff>
      <xdr:row>70</xdr:row>
      <xdr:rowOff>121766</xdr:rowOff>
    </xdr:to>
    <xdr:pic macro="[0]!CambiarImagen1">
      <xdr:nvPicPr>
        <xdr:cNvPr id="47" name="chkCUNA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8" r="928"/>
        <a:stretch/>
      </xdr:blipFill>
      <xdr:spPr>
        <a:xfrm>
          <a:off x="1538160" y="22021470"/>
          <a:ext cx="568546" cy="579296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1638300</xdr:colOff>
          <xdr:row>15</xdr:row>
          <xdr:rowOff>0</xdr:rowOff>
        </xdr:from>
        <xdr:to>
          <xdr:col>3</xdr:col>
          <xdr:colOff>1152525</xdr:colOff>
          <xdr:row>18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600" b="1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974C52-4201-4182-8853-AD12E3C3C29D}" name="Tabla1" displayName="Tabla1" ref="A1:I13" totalsRowShown="0" headerRowDxfId="12" dataDxfId="10" headerRowBorderDxfId="11" tableBorderDxfId="9">
  <tableColumns count="9">
    <tableColumn id="1" xr3:uid="{196058B8-AE93-4056-A201-25BC2AAF3927}" name="PLAN" dataDxfId="8"/>
    <tableColumn id="2" xr3:uid="{062D1C82-E717-4AF3-A315-B33CE43A7706}" name="VIA" dataDxfId="7"/>
    <tableColumn id="3" xr3:uid="{55F0A422-1283-4847-9AF9-5032EA9FA962}" name="GOTAS X MIN." dataDxfId="6"/>
    <tableColumn id="4" xr3:uid="{E7D3CF92-3E80-4DC2-ACA0-FB1CB3DBBBEE}" name="GOTEO" dataDxfId="5"/>
    <tableColumn id="5" xr3:uid="{2C246446-15BB-49AF-A2D2-D8A961047D83}" name="SOLUCION" dataDxfId="4"/>
    <tableColumn id="9" xr3:uid="{5364AD64-A790-4479-9D3E-B002B440D77A}" name="CANTIDAD SOL." dataDxfId="3"/>
    <tableColumn id="6" xr3:uid="{6961F62E-6801-44DC-9328-4294BD7FE4D3}" name="MEDICACION" dataDxfId="2"/>
    <tableColumn id="7" xr3:uid="{4422A941-CF53-4066-BDA0-75E16363CF03}" name="CANTIDAD MED." dataDxfId="1"/>
    <tableColumn id="8" xr3:uid="{1195DB4D-2A48-47DF-AB44-97B437728555}" name="OBSERVACIONES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05E10-B85A-4640-9AD2-8AA818985254}">
  <sheetPr codeName="Hoja1">
    <pageSetUpPr fitToPage="1"/>
  </sheetPr>
  <dimension ref="A1:AH65"/>
  <sheetViews>
    <sheetView tabSelected="1" zoomScale="60" zoomScaleNormal="60" workbookViewId="0">
      <pane ySplit="6" topLeftCell="A7" activePane="bottomLeft" state="frozenSplit"/>
      <selection pane="bottomLeft" activeCell="S17" sqref="S17"/>
    </sheetView>
  </sheetViews>
  <sheetFormatPr baseColWidth="10" defaultColWidth="11.42578125" defaultRowHeight="15" x14ac:dyDescent="0.25"/>
  <cols>
    <col min="1" max="1" width="69.7109375" customWidth="1"/>
    <col min="2" max="2" width="21.7109375" bestFit="1" customWidth="1"/>
    <col min="3" max="3" width="27.42578125" customWidth="1"/>
    <col min="4" max="4" width="27.42578125" bestFit="1" customWidth="1"/>
    <col min="5" max="6" width="11" customWidth="1"/>
    <col min="7" max="7" width="20.5703125" bestFit="1" customWidth="1"/>
    <col min="8" max="31" width="5.28515625" customWidth="1"/>
    <col min="34" max="34" width="22.85546875" customWidth="1"/>
  </cols>
  <sheetData>
    <row r="1" spans="1:34" ht="52.5" customHeight="1" thickBot="1" x14ac:dyDescent="0.3">
      <c r="A1" s="150" t="s">
        <v>0</v>
      </c>
      <c r="B1" s="151"/>
      <c r="C1" s="151"/>
      <c r="D1" s="151"/>
      <c r="E1" s="151"/>
      <c r="F1" s="151"/>
      <c r="G1" s="152"/>
      <c r="H1" s="153"/>
      <c r="I1" s="154"/>
      <c r="J1" s="154"/>
      <c r="K1" s="154"/>
      <c r="L1" s="154"/>
      <c r="M1" s="154"/>
      <c r="N1" s="154"/>
      <c r="O1" s="154"/>
      <c r="P1" s="154"/>
      <c r="Q1" s="154"/>
      <c r="R1" s="154"/>
      <c r="S1" s="154"/>
      <c r="T1" s="154"/>
      <c r="U1" s="154"/>
      <c r="V1" s="154"/>
      <c r="W1" s="154"/>
      <c r="X1" s="154"/>
      <c r="Y1" s="154"/>
      <c r="Z1" s="154"/>
      <c r="AA1" s="154"/>
      <c r="AB1" s="154"/>
      <c r="AC1" s="154"/>
      <c r="AD1" s="154"/>
      <c r="AE1" s="154"/>
      <c r="AF1" s="154"/>
      <c r="AG1" s="154"/>
      <c r="AH1" s="155"/>
    </row>
    <row r="2" spans="1:34" ht="21.75" x14ac:dyDescent="0.25">
      <c r="A2" s="13" t="s">
        <v>1</v>
      </c>
      <c r="B2" s="165"/>
      <c r="C2" s="165"/>
      <c r="D2" s="166"/>
      <c r="E2" s="164" t="s">
        <v>2</v>
      </c>
      <c r="F2" s="164"/>
      <c r="G2" s="14"/>
      <c r="H2" s="156" t="s">
        <v>3</v>
      </c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  <c r="AE2" s="158"/>
      <c r="AF2" s="156" t="s">
        <v>4</v>
      </c>
      <c r="AG2" s="156"/>
      <c r="AH2" s="160"/>
    </row>
    <row r="3" spans="1:34" ht="19.5" x14ac:dyDescent="0.25">
      <c r="A3" s="26" t="s">
        <v>5</v>
      </c>
      <c r="B3" s="167"/>
      <c r="C3" s="167"/>
      <c r="D3" s="167"/>
      <c r="E3" s="168"/>
      <c r="F3" s="167"/>
      <c r="G3" s="169"/>
      <c r="H3" s="157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9"/>
      <c r="U3" s="159"/>
      <c r="V3" s="159"/>
      <c r="W3" s="159"/>
      <c r="X3" s="159"/>
      <c r="Y3" s="159"/>
      <c r="Z3" s="159"/>
      <c r="AA3" s="159"/>
      <c r="AB3" s="159"/>
      <c r="AC3" s="159"/>
      <c r="AD3" s="159"/>
      <c r="AE3" s="158"/>
      <c r="AF3" s="156"/>
      <c r="AG3" s="156"/>
      <c r="AH3" s="160"/>
    </row>
    <row r="4" spans="1:34" ht="21.75" x14ac:dyDescent="0.25">
      <c r="A4" s="22" t="s">
        <v>6</v>
      </c>
      <c r="B4" s="161"/>
      <c r="C4" s="162"/>
      <c r="D4" s="170"/>
      <c r="E4" s="171"/>
      <c r="F4" s="171"/>
      <c r="G4" s="172"/>
      <c r="H4" s="157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9"/>
      <c r="U4" s="159"/>
      <c r="V4" s="159"/>
      <c r="W4" s="159"/>
      <c r="X4" s="159"/>
      <c r="Y4" s="159"/>
      <c r="Z4" s="159"/>
      <c r="AA4" s="159"/>
      <c r="AB4" s="159"/>
      <c r="AC4" s="159"/>
      <c r="AD4" s="159"/>
      <c r="AE4" s="158"/>
      <c r="AF4" s="156"/>
      <c r="AG4" s="156"/>
      <c r="AH4" s="160"/>
    </row>
    <row r="5" spans="1:34" ht="20.25" thickBot="1" x14ac:dyDescent="0.3">
      <c r="A5" s="15" t="s">
        <v>7</v>
      </c>
      <c r="B5" s="16">
        <f ca="1">TODAY()</f>
        <v>45230</v>
      </c>
      <c r="C5" s="17" t="s">
        <v>8</v>
      </c>
      <c r="D5" s="18"/>
      <c r="E5" s="163" t="s">
        <v>9</v>
      </c>
      <c r="F5" s="163"/>
      <c r="G5" s="19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8"/>
      <c r="AF5" s="156"/>
      <c r="AG5" s="156"/>
      <c r="AH5" s="160"/>
    </row>
    <row r="6" spans="1:34" ht="19.5" customHeight="1" x14ac:dyDescent="0.35">
      <c r="A6" s="97" t="s">
        <v>10</v>
      </c>
      <c r="B6" s="8" t="s">
        <v>11</v>
      </c>
      <c r="C6" s="8" t="s">
        <v>12</v>
      </c>
      <c r="D6" s="8" t="s">
        <v>13</v>
      </c>
      <c r="E6" s="173" t="s">
        <v>14</v>
      </c>
      <c r="F6" s="173"/>
      <c r="G6" s="20" t="s">
        <v>15</v>
      </c>
      <c r="H6" s="98">
        <v>14</v>
      </c>
      <c r="I6" s="99">
        <v>15</v>
      </c>
      <c r="J6" s="99">
        <v>16</v>
      </c>
      <c r="K6" s="99">
        <v>17</v>
      </c>
      <c r="L6" s="99">
        <v>18</v>
      </c>
      <c r="M6" s="99">
        <v>19</v>
      </c>
      <c r="N6" s="99">
        <v>20</v>
      </c>
      <c r="O6" s="99">
        <v>21</v>
      </c>
      <c r="P6" s="99">
        <v>22</v>
      </c>
      <c r="Q6" s="99">
        <v>23</v>
      </c>
      <c r="R6" s="99">
        <v>24</v>
      </c>
      <c r="S6" s="99">
        <v>1</v>
      </c>
      <c r="T6" s="99">
        <v>2</v>
      </c>
      <c r="U6" s="99">
        <v>3</v>
      </c>
      <c r="V6" s="99">
        <v>4</v>
      </c>
      <c r="W6" s="99">
        <v>5</v>
      </c>
      <c r="X6" s="99">
        <v>6</v>
      </c>
      <c r="Y6" s="99">
        <v>7</v>
      </c>
      <c r="Z6" s="99">
        <v>8</v>
      </c>
      <c r="AA6" s="99">
        <v>9</v>
      </c>
      <c r="AB6" s="99">
        <v>10</v>
      </c>
      <c r="AC6" s="99">
        <v>11</v>
      </c>
      <c r="AD6" s="99">
        <v>12</v>
      </c>
      <c r="AE6" s="100">
        <v>13</v>
      </c>
      <c r="AF6" s="174"/>
      <c r="AG6" s="175"/>
      <c r="AH6" s="176"/>
    </row>
    <row r="7" spans="1:34" ht="23.25" x14ac:dyDescent="0.25">
      <c r="A7" s="7"/>
      <c r="B7" s="70"/>
      <c r="C7" s="70"/>
      <c r="D7" s="70"/>
      <c r="E7" s="106"/>
      <c r="F7" s="106"/>
      <c r="G7" s="71"/>
      <c r="H7" s="36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90"/>
      <c r="AF7" s="101"/>
      <c r="AG7" s="102"/>
      <c r="AH7" s="103"/>
    </row>
    <row r="8" spans="1:34" ht="23.25" x14ac:dyDescent="0.25">
      <c r="A8" s="7"/>
      <c r="B8" s="70"/>
      <c r="C8" s="70"/>
      <c r="D8" s="70"/>
      <c r="E8" s="106"/>
      <c r="F8" s="106"/>
      <c r="G8" s="71"/>
      <c r="H8" s="39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91"/>
      <c r="AF8" s="101"/>
      <c r="AG8" s="102"/>
      <c r="AH8" s="103"/>
    </row>
    <row r="9" spans="1:34" ht="23.25" x14ac:dyDescent="0.25">
      <c r="A9" s="7"/>
      <c r="B9" s="70"/>
      <c r="C9" s="70"/>
      <c r="D9" s="70"/>
      <c r="E9" s="106"/>
      <c r="F9" s="106"/>
      <c r="G9" s="71"/>
      <c r="H9" s="36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90"/>
      <c r="AF9" s="101"/>
      <c r="AG9" s="102"/>
      <c r="AH9" s="103"/>
    </row>
    <row r="10" spans="1:34" ht="23.25" x14ac:dyDescent="0.25">
      <c r="A10" s="7"/>
      <c r="B10" s="70"/>
      <c r="C10" s="70"/>
      <c r="D10" s="70"/>
      <c r="E10" s="106"/>
      <c r="F10" s="106"/>
      <c r="G10" s="71"/>
      <c r="H10" s="39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91"/>
      <c r="AF10" s="101"/>
      <c r="AG10" s="102"/>
      <c r="AH10" s="103"/>
    </row>
    <row r="11" spans="1:34" ht="23.25" x14ac:dyDescent="0.25">
      <c r="A11" s="7"/>
      <c r="B11" s="70"/>
      <c r="C11" s="70"/>
      <c r="D11" s="70"/>
      <c r="E11" s="106"/>
      <c r="F11" s="106"/>
      <c r="G11" s="71"/>
      <c r="H11" s="36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90"/>
      <c r="AF11" s="101"/>
      <c r="AG11" s="102"/>
      <c r="AH11" s="103"/>
    </row>
    <row r="12" spans="1:34" ht="23.25" x14ac:dyDescent="0.25">
      <c r="A12" s="7"/>
      <c r="B12" s="70"/>
      <c r="C12" s="70"/>
      <c r="D12" s="70"/>
      <c r="E12" s="106"/>
      <c r="F12" s="106"/>
      <c r="G12" s="71"/>
      <c r="H12" s="39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92"/>
      <c r="AF12" s="101"/>
      <c r="AG12" s="102"/>
      <c r="AH12" s="103"/>
    </row>
    <row r="13" spans="1:34" ht="23.25" x14ac:dyDescent="0.25">
      <c r="A13" s="7"/>
      <c r="B13" s="70"/>
      <c r="C13" s="70"/>
      <c r="D13" s="70"/>
      <c r="E13" s="106"/>
      <c r="F13" s="106"/>
      <c r="G13" s="71"/>
      <c r="H13" s="36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90"/>
      <c r="AF13" s="101"/>
      <c r="AG13" s="102"/>
      <c r="AH13" s="103"/>
    </row>
    <row r="14" spans="1:34" ht="23.25" x14ac:dyDescent="0.25">
      <c r="A14" s="7"/>
      <c r="B14" s="70"/>
      <c r="C14" s="70"/>
      <c r="D14" s="70"/>
      <c r="E14" s="106"/>
      <c r="F14" s="106"/>
      <c r="G14" s="71"/>
      <c r="H14" s="39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92"/>
      <c r="AF14" s="101"/>
      <c r="AG14" s="102"/>
      <c r="AH14" s="103"/>
    </row>
    <row r="15" spans="1:34" ht="23.25" x14ac:dyDescent="0.25">
      <c r="A15" s="7"/>
      <c r="B15" s="70"/>
      <c r="C15" s="70"/>
      <c r="D15" s="70"/>
      <c r="E15" s="106"/>
      <c r="F15" s="106"/>
      <c r="G15" s="71"/>
      <c r="H15" s="36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90"/>
      <c r="AF15" s="101"/>
      <c r="AG15" s="102"/>
      <c r="AH15" s="103"/>
    </row>
    <row r="16" spans="1:34" ht="23.25" x14ac:dyDescent="0.25">
      <c r="A16" s="7"/>
      <c r="B16" s="70"/>
      <c r="C16" s="70"/>
      <c r="D16" s="70"/>
      <c r="E16" s="106"/>
      <c r="F16" s="106"/>
      <c r="G16" s="71"/>
      <c r="H16" s="39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92"/>
      <c r="AF16" s="101"/>
      <c r="AG16" s="102"/>
      <c r="AH16" s="103"/>
    </row>
    <row r="17" spans="1:34" ht="23.25" x14ac:dyDescent="0.25">
      <c r="A17" s="7"/>
      <c r="B17" s="70"/>
      <c r="C17" s="70"/>
      <c r="D17" s="70"/>
      <c r="E17" s="106"/>
      <c r="F17" s="106"/>
      <c r="G17" s="71"/>
      <c r="H17" s="36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90"/>
      <c r="AF17" s="101"/>
      <c r="AG17" s="102"/>
      <c r="AH17" s="103"/>
    </row>
    <row r="18" spans="1:34" ht="23.25" x14ac:dyDescent="0.25">
      <c r="A18" s="7"/>
      <c r="B18" s="70"/>
      <c r="C18" s="70"/>
      <c r="D18" s="70"/>
      <c r="E18" s="106"/>
      <c r="F18" s="106"/>
      <c r="G18" s="71"/>
      <c r="H18" s="39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92"/>
      <c r="AF18" s="101"/>
      <c r="AG18" s="102"/>
      <c r="AH18" s="103"/>
    </row>
    <row r="19" spans="1:34" ht="23.25" x14ac:dyDescent="0.25">
      <c r="A19" s="7"/>
      <c r="B19" s="70"/>
      <c r="C19" s="70"/>
      <c r="D19" s="70"/>
      <c r="E19" s="104"/>
      <c r="F19" s="105"/>
      <c r="G19" s="71"/>
      <c r="H19" s="36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90"/>
      <c r="AF19" s="101"/>
      <c r="AG19" s="102"/>
      <c r="AH19" s="103"/>
    </row>
    <row r="20" spans="1:34" ht="23.25" x14ac:dyDescent="0.25">
      <c r="A20" s="7"/>
      <c r="B20" s="70"/>
      <c r="C20" s="70"/>
      <c r="D20" s="70"/>
      <c r="E20" s="104"/>
      <c r="F20" s="105"/>
      <c r="G20" s="71"/>
      <c r="H20" s="43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91"/>
      <c r="AF20" s="101"/>
      <c r="AG20" s="102"/>
      <c r="AH20" s="103"/>
    </row>
    <row r="21" spans="1:34" ht="23.25" x14ac:dyDescent="0.25">
      <c r="A21" s="7"/>
      <c r="B21" s="70"/>
      <c r="C21" s="70"/>
      <c r="D21" s="70"/>
      <c r="E21" s="104"/>
      <c r="F21" s="105"/>
      <c r="G21" s="71"/>
      <c r="H21" s="36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90"/>
      <c r="AF21" s="101"/>
      <c r="AG21" s="102"/>
      <c r="AH21" s="103"/>
    </row>
    <row r="22" spans="1:34" ht="23.25" x14ac:dyDescent="0.25">
      <c r="A22" s="7"/>
      <c r="B22" s="70"/>
      <c r="C22" s="70"/>
      <c r="D22" s="70"/>
      <c r="E22" s="104"/>
      <c r="F22" s="105"/>
      <c r="G22" s="71"/>
      <c r="H22" s="43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91"/>
      <c r="AF22" s="101"/>
      <c r="AG22" s="102"/>
      <c r="AH22" s="103"/>
    </row>
    <row r="23" spans="1:34" ht="23.25" x14ac:dyDescent="0.25">
      <c r="A23" s="7"/>
      <c r="B23" s="70"/>
      <c r="C23" s="70"/>
      <c r="D23" s="70"/>
      <c r="E23" s="104"/>
      <c r="F23" s="105"/>
      <c r="G23" s="71"/>
      <c r="H23" s="36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90"/>
      <c r="AF23" s="101"/>
      <c r="AG23" s="102"/>
      <c r="AH23" s="103"/>
    </row>
    <row r="24" spans="1:34" ht="24" thickBot="1" x14ac:dyDescent="0.3">
      <c r="A24" s="21"/>
      <c r="B24" s="72"/>
      <c r="C24" s="72"/>
      <c r="D24" s="72"/>
      <c r="E24" s="131"/>
      <c r="F24" s="132"/>
      <c r="G24" s="73"/>
      <c r="H24" s="43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91"/>
      <c r="AF24" s="101"/>
      <c r="AG24" s="102"/>
      <c r="AH24" s="103"/>
    </row>
    <row r="25" spans="1:34" ht="24" customHeight="1" thickBot="1" x14ac:dyDescent="0.3">
      <c r="A25" s="147" t="s">
        <v>16</v>
      </c>
      <c r="B25" s="148"/>
      <c r="C25" s="148"/>
      <c r="D25" s="148"/>
      <c r="E25" s="148"/>
      <c r="F25" s="148"/>
      <c r="G25" s="149"/>
      <c r="H25" s="53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5"/>
      <c r="AF25" s="101"/>
      <c r="AG25" s="102"/>
      <c r="AH25" s="103"/>
    </row>
    <row r="26" spans="1:34" ht="23.25" customHeight="1" thickBot="1" x14ac:dyDescent="0.3">
      <c r="A26" s="107"/>
      <c r="B26" s="108"/>
      <c r="C26" s="108"/>
      <c r="D26" s="108"/>
      <c r="E26" s="108"/>
      <c r="F26" s="108"/>
      <c r="G26" s="111"/>
      <c r="H26" s="44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93"/>
      <c r="AF26" s="101"/>
      <c r="AG26" s="102"/>
      <c r="AH26" s="103"/>
    </row>
    <row r="27" spans="1:34" ht="24" customHeight="1" thickBot="1" x14ac:dyDescent="0.4">
      <c r="A27" s="109"/>
      <c r="B27" s="110"/>
      <c r="C27" s="110"/>
      <c r="D27" s="110"/>
      <c r="E27" s="110"/>
      <c r="F27" s="110"/>
      <c r="G27" s="112"/>
      <c r="H27" s="46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174"/>
      <c r="AG27" s="175"/>
      <c r="AH27" s="176"/>
    </row>
    <row r="28" spans="1:34" ht="24" customHeight="1" thickBot="1" x14ac:dyDescent="0.3">
      <c r="A28" s="138"/>
      <c r="B28" s="139"/>
      <c r="C28" s="139"/>
      <c r="D28" s="139"/>
      <c r="E28" s="139"/>
      <c r="F28" s="139"/>
      <c r="G28" s="142"/>
      <c r="H28" s="49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1"/>
      <c r="AF28" s="184" t="s">
        <v>17</v>
      </c>
      <c r="AG28" s="184"/>
      <c r="AH28" s="185"/>
    </row>
    <row r="29" spans="1:34" ht="23.25" customHeight="1" x14ac:dyDescent="0.25">
      <c r="A29" s="109"/>
      <c r="B29" s="110"/>
      <c r="C29" s="110"/>
      <c r="D29" s="110"/>
      <c r="E29" s="110"/>
      <c r="F29" s="110"/>
      <c r="G29" s="112"/>
      <c r="H29" s="46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8"/>
      <c r="AF29" s="186"/>
      <c r="AG29" s="187"/>
      <c r="AH29" s="188"/>
    </row>
    <row r="30" spans="1:34" ht="23.25" customHeight="1" x14ac:dyDescent="0.25">
      <c r="A30" s="138"/>
      <c r="B30" s="139"/>
      <c r="C30" s="139"/>
      <c r="D30" s="139"/>
      <c r="E30" s="139"/>
      <c r="F30" s="139"/>
      <c r="G30" s="142"/>
      <c r="H30" s="52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1"/>
      <c r="AF30" s="189"/>
      <c r="AG30" s="190"/>
      <c r="AH30" s="191"/>
    </row>
    <row r="31" spans="1:34" ht="15.75" customHeight="1" thickBot="1" x14ac:dyDescent="0.3">
      <c r="A31" s="140"/>
      <c r="B31" s="141"/>
      <c r="C31" s="141"/>
      <c r="D31" s="141"/>
      <c r="E31" s="141"/>
      <c r="F31" s="141"/>
      <c r="G31" s="143"/>
      <c r="H31" s="46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8"/>
      <c r="AF31" s="189"/>
      <c r="AG31" s="190"/>
      <c r="AH31" s="191"/>
    </row>
    <row r="32" spans="1:34" ht="23.25" thickBot="1" x14ac:dyDescent="0.3">
      <c r="A32" s="144" t="s">
        <v>18</v>
      </c>
      <c r="B32" s="145"/>
      <c r="C32" s="145"/>
      <c r="D32" s="145"/>
      <c r="E32" s="145"/>
      <c r="F32" s="145"/>
      <c r="G32" s="180"/>
      <c r="H32" s="53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5"/>
      <c r="AF32" s="189"/>
      <c r="AG32" s="190"/>
      <c r="AH32" s="191"/>
    </row>
    <row r="33" spans="1:34" ht="23.25" x14ac:dyDescent="0.25">
      <c r="A33" s="177"/>
      <c r="B33" s="178"/>
      <c r="C33" s="178"/>
      <c r="D33" s="178"/>
      <c r="E33" s="178"/>
      <c r="F33" s="178"/>
      <c r="G33" s="179"/>
      <c r="H33" s="56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  <c r="AD33" s="50"/>
      <c r="AE33" s="51"/>
      <c r="AF33" s="189"/>
      <c r="AG33" s="190"/>
      <c r="AH33" s="191"/>
    </row>
    <row r="34" spans="1:34" ht="23.25" x14ac:dyDescent="0.25">
      <c r="A34" s="177"/>
      <c r="B34" s="178"/>
      <c r="C34" s="178"/>
      <c r="D34" s="178"/>
      <c r="E34" s="178"/>
      <c r="F34" s="178"/>
      <c r="G34" s="179"/>
      <c r="H34" s="43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1"/>
      <c r="AF34" s="189"/>
      <c r="AG34" s="190"/>
      <c r="AH34" s="191"/>
    </row>
    <row r="35" spans="1:34" ht="23.25" x14ac:dyDescent="0.25">
      <c r="A35" s="177"/>
      <c r="B35" s="178"/>
      <c r="C35" s="178"/>
      <c r="D35" s="178"/>
      <c r="E35" s="178"/>
      <c r="F35" s="178"/>
      <c r="G35" s="179"/>
      <c r="H35" s="36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8"/>
      <c r="AF35" s="189"/>
      <c r="AG35" s="190"/>
      <c r="AH35" s="191"/>
    </row>
    <row r="36" spans="1:34" ht="23.25" x14ac:dyDescent="0.25">
      <c r="A36" s="177"/>
      <c r="B36" s="178"/>
      <c r="C36" s="178"/>
      <c r="D36" s="178"/>
      <c r="E36" s="178"/>
      <c r="F36" s="178"/>
      <c r="G36" s="179"/>
      <c r="H36" s="43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1"/>
      <c r="AF36" s="189"/>
      <c r="AG36" s="190"/>
      <c r="AH36" s="191"/>
    </row>
    <row r="37" spans="1:34" ht="23.25" x14ac:dyDescent="0.25">
      <c r="A37" s="177"/>
      <c r="B37" s="178"/>
      <c r="C37" s="178"/>
      <c r="D37" s="178"/>
      <c r="E37" s="178"/>
      <c r="F37" s="178"/>
      <c r="G37" s="179"/>
      <c r="H37" s="36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8"/>
      <c r="AF37" s="189"/>
      <c r="AG37" s="190"/>
      <c r="AH37" s="191"/>
    </row>
    <row r="38" spans="1:34" ht="24" thickBot="1" x14ac:dyDescent="0.3">
      <c r="A38" s="181"/>
      <c r="B38" s="182"/>
      <c r="C38" s="182"/>
      <c r="D38" s="182"/>
      <c r="E38" s="182"/>
      <c r="F38" s="182"/>
      <c r="G38" s="183"/>
      <c r="H38" s="57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9"/>
      <c r="AF38" s="189"/>
      <c r="AG38" s="190"/>
      <c r="AH38" s="191"/>
    </row>
    <row r="39" spans="1:34" ht="23.25" thickBot="1" x14ac:dyDescent="0.3">
      <c r="A39" s="144" t="s">
        <v>19</v>
      </c>
      <c r="B39" s="145"/>
      <c r="C39" s="145"/>
      <c r="D39" s="145"/>
      <c r="E39" s="145"/>
      <c r="F39" s="145"/>
      <c r="G39" s="146"/>
      <c r="H39" s="60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2"/>
      <c r="AF39" s="189"/>
      <c r="AG39" s="190"/>
      <c r="AH39" s="191"/>
    </row>
    <row r="40" spans="1:34" ht="69.95" customHeight="1" thickBot="1" x14ac:dyDescent="0.3">
      <c r="A40" s="133" t="str">
        <f>_xlfn.CONCAT(PHP!A2, " ", PHP!C2, " ", PHP!D2, " ", PHP!B2, " ", IF(PHP!E2&lt;&gt;"","Frasco: " &amp; PHP!E2, ""), " ", IF(PHP!F2&lt;&gt;"","Cant. Solución: " &amp; PHP!F2, ""), " ",IF(PHP!G2&lt;&gt;"", "Incluir: " &amp; PHP!G2, ""), " ", IF(PHP!H2&lt;&gt;"", " Cant. Ampollas: " &amp; PHP!H2, ""), " ", IF(PHP!I2&lt;&gt;"","Observaciones: " &amp; PHP!I2, ""))</f>
        <v xml:space="preserve">        </v>
      </c>
      <c r="B40" s="134"/>
      <c r="C40" s="134"/>
      <c r="D40" s="134"/>
      <c r="E40" s="134"/>
      <c r="F40" s="134"/>
      <c r="G40" s="134"/>
      <c r="H40" s="63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5"/>
      <c r="AF40" s="189"/>
      <c r="AG40" s="190"/>
      <c r="AH40" s="191"/>
    </row>
    <row r="41" spans="1:34" ht="69.95" customHeight="1" thickBot="1" x14ac:dyDescent="0.3">
      <c r="A41" s="133" t="str">
        <f>_xlfn.CONCAT(PHP!A3, " ", PHP!C3, " ", PHP!D3, " ", PHP!B3, " ", IF(PHP!E3&lt;&gt;"","Frasco: " &amp; PHP!E3, ""), " ", IF(PHP!F3&lt;&gt;"","Cant. Solución: " &amp; PHP!F3, ""), " ",IF(PHP!G3&lt;&gt;"", "Incluir: " &amp; PHP!G3, ""), " ", IF(PHP!H3&lt;&gt;"", " Cant. Ampollas: " &amp; PHP!H3, ""), " ", IF(PHP!I3&lt;&gt;"","Observaciones: " &amp; PHP!I3, ""))</f>
        <v xml:space="preserve">        </v>
      </c>
      <c r="B41" s="134"/>
      <c r="C41" s="134"/>
      <c r="D41" s="134"/>
      <c r="E41" s="134"/>
      <c r="F41" s="134"/>
      <c r="G41" s="134"/>
      <c r="H41" s="52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1"/>
      <c r="AF41" s="189"/>
      <c r="AG41" s="190"/>
      <c r="AH41" s="191"/>
    </row>
    <row r="42" spans="1:34" ht="69.95" customHeight="1" thickBot="1" x14ac:dyDescent="0.3">
      <c r="A42" s="133" t="str">
        <f>_xlfn.CONCAT(PHP!A4, " ", PHP!C4, " ", PHP!D4, " ", PHP!B4, " ", IF(PHP!E4&lt;&gt;"","Frasco: " &amp; PHP!E4, ""), " ", IF(PHP!F4&lt;&gt;"","Cant. Solución: " &amp; PHP!F4, ""), " ",IF(PHP!G4&lt;&gt;"", "Incluir: " &amp; PHP!G4, ""), " ", IF(PHP!H4&lt;&gt;"", " Cant. Ampollas: " &amp; PHP!H4, ""), " ", IF(PHP!I4&lt;&gt;"","Observaciones: " &amp; PHP!I4, ""))</f>
        <v xml:space="preserve">        </v>
      </c>
      <c r="B42" s="134"/>
      <c r="C42" s="134"/>
      <c r="D42" s="134"/>
      <c r="E42" s="134"/>
      <c r="F42" s="134"/>
      <c r="G42" s="134"/>
      <c r="H42" s="49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1"/>
      <c r="AF42" s="189"/>
      <c r="AG42" s="190"/>
      <c r="AH42" s="191"/>
    </row>
    <row r="43" spans="1:34" ht="69.95" customHeight="1" thickBot="1" x14ac:dyDescent="0.3">
      <c r="A43" s="133" t="str">
        <f>_xlfn.CONCAT(PHP!A5, " ", PHP!C5, " ", PHP!D5, " ", PHP!B5, " ", IF(PHP!E5&lt;&gt;"","Frasco: " &amp; PHP!E5, ""), " ", IF(PHP!F5&lt;&gt;"","Cant. Solución: " &amp; PHP!F5, ""), " ",IF(PHP!G5&lt;&gt;"", "Incluir: " &amp; PHP!G5, ""), " ", IF(PHP!H5&lt;&gt;"", " Cant. Ampollas: " &amp; PHP!H5, ""), " ", IF(PHP!I5&lt;&gt;"","Observaciones: " &amp; PHP!I5, ""))</f>
        <v xml:space="preserve">        </v>
      </c>
      <c r="B43" s="134"/>
      <c r="C43" s="134"/>
      <c r="D43" s="134"/>
      <c r="E43" s="134"/>
      <c r="F43" s="134"/>
      <c r="G43" s="134"/>
      <c r="H43" s="52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1"/>
      <c r="AF43" s="189"/>
      <c r="AG43" s="190"/>
      <c r="AH43" s="191"/>
    </row>
    <row r="44" spans="1:34" ht="69.95" customHeight="1" thickBot="1" x14ac:dyDescent="0.3">
      <c r="A44" s="133" t="str">
        <f>_xlfn.CONCAT(PHP!A6, " ", PHP!C6, " ", PHP!D6, " ", PHP!B6, " ", IF(PHP!E6&lt;&gt;"","Frasco: " &amp; PHP!E6, ""), " ", IF(PHP!F6&lt;&gt;"","Cant. Solución: " &amp; PHP!F6, ""), " ",IF(PHP!G6&lt;&gt;"", "Incluir: " &amp; PHP!G6, ""), " ", IF(PHP!H6&lt;&gt;"", " Cant. Ampollas: " &amp; PHP!H6, ""), " ", IF(PHP!I6&lt;&gt;"","Observaciones: " &amp; PHP!I6, ""))</f>
        <v xml:space="preserve">        </v>
      </c>
      <c r="B44" s="134"/>
      <c r="C44" s="134"/>
      <c r="D44" s="134"/>
      <c r="E44" s="134"/>
      <c r="F44" s="134"/>
      <c r="G44" s="134"/>
      <c r="H44" s="49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/>
      <c r="AD44" s="50"/>
      <c r="AE44" s="51"/>
      <c r="AF44" s="189"/>
      <c r="AG44" s="190"/>
      <c r="AH44" s="191"/>
    </row>
    <row r="45" spans="1:34" ht="69.95" customHeight="1" thickBot="1" x14ac:dyDescent="0.3">
      <c r="A45" s="133" t="str">
        <f>_xlfn.CONCAT(PHP!A7, " ", PHP!C7, " ", PHP!D7, " ", PHP!B7, " ", IF(PHP!E7&lt;&gt;"","Frasco: " &amp; PHP!E7, ""), " ", IF(PHP!F7&lt;&gt;"","Cant. Solución: " &amp; PHP!F7, ""), " ",IF(PHP!G7&lt;&gt;"", "Incluir: " &amp; PHP!G7, ""), " ", IF(PHP!H7&lt;&gt;"", " Cant. Ampollas: " &amp; PHP!H7, ""), " ", IF(PHP!I7&lt;&gt;"","Observaciones: " &amp; PHP!I7, ""))</f>
        <v xml:space="preserve">        </v>
      </c>
      <c r="B45" s="134"/>
      <c r="C45" s="134"/>
      <c r="D45" s="134"/>
      <c r="E45" s="134"/>
      <c r="F45" s="134"/>
      <c r="G45" s="134"/>
      <c r="H45" s="52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1"/>
      <c r="AF45" s="189"/>
      <c r="AG45" s="190"/>
      <c r="AH45" s="191"/>
    </row>
    <row r="46" spans="1:34" ht="69.95" customHeight="1" thickBot="1" x14ac:dyDescent="0.3">
      <c r="A46" s="133" t="str">
        <f>_xlfn.CONCAT(PHP!A8, " ", PHP!C8, " ", PHP!D8, " ", PHP!B8, " ", IF(PHP!E8&lt;&gt;"","Frasco: " &amp; PHP!E8, ""), " ", IF(PHP!F8&lt;&gt;"","Cant. Solución: " &amp; PHP!F8, ""), " ",IF(PHP!G8&lt;&gt;"", "Incluir: " &amp; PHP!G8, ""), " ", IF(PHP!H8&lt;&gt;"", " Cant. Ampollas: " &amp; PHP!H8, ""), " ", IF(PHP!I8&lt;&gt;"","Observaciones: " &amp; PHP!I8, ""))</f>
        <v xml:space="preserve">        </v>
      </c>
      <c r="B46" s="134"/>
      <c r="C46" s="134"/>
      <c r="D46" s="134"/>
      <c r="E46" s="134"/>
      <c r="F46" s="134"/>
      <c r="G46" s="134"/>
      <c r="H46" s="66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8"/>
      <c r="AF46" s="189"/>
      <c r="AG46" s="190"/>
      <c r="AH46" s="191"/>
    </row>
    <row r="47" spans="1:34" ht="69.95" customHeight="1" thickBot="1" x14ac:dyDescent="0.3">
      <c r="A47" s="133" t="str">
        <f>_xlfn.CONCAT(PHP!A9, " ", PHP!C9, " ", PHP!D9, " ", PHP!B9, " ", IF(PHP!E9&lt;&gt;"","Frasco: " &amp; PHP!E9, ""), " ", IF(PHP!F9&lt;&gt;"","Cant. Solución: " &amp; PHP!F9, ""), " ",IF(PHP!G9&lt;&gt;"", "Incluir: " &amp; PHP!G9, ""), " ", IF(PHP!H9&lt;&gt;"", " Cant. Ampollas: " &amp; PHP!H9, ""), " ", IF(PHP!I9&lt;&gt;"","Observaciones: " &amp; PHP!I9, ""))</f>
        <v xml:space="preserve">        </v>
      </c>
      <c r="B47" s="134"/>
      <c r="C47" s="134"/>
      <c r="D47" s="134"/>
      <c r="E47" s="134"/>
      <c r="F47" s="134"/>
      <c r="G47" s="134"/>
      <c r="H47" s="52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1"/>
      <c r="AF47" s="189"/>
      <c r="AG47" s="190"/>
      <c r="AH47" s="191"/>
    </row>
    <row r="48" spans="1:34" ht="69.95" customHeight="1" thickBot="1" x14ac:dyDescent="0.3">
      <c r="A48" s="133" t="str">
        <f>_xlfn.CONCAT(PHP!A10, " ", PHP!C10, " ", PHP!D10, " ", PHP!B10, " ", IF(PHP!E10&lt;&gt;"","Frasco: " &amp; PHP!E10, ""), " ", IF(PHP!F10&lt;&gt;"","Cant. Solución: " &amp; PHP!F10, ""), " ",IF(PHP!G10&lt;&gt;"", "Incluir: " &amp; PHP!G10, ""), " ", IF(PHP!H10&lt;&gt;"", " Cant. Ampollas: " &amp; PHP!H10, ""), " ", IF(PHP!I10&lt;&gt;"","Observaciones: " &amp; PHP!I10, ""))</f>
        <v xml:space="preserve">        </v>
      </c>
      <c r="B48" s="134"/>
      <c r="C48" s="134"/>
      <c r="D48" s="134"/>
      <c r="E48" s="134"/>
      <c r="F48" s="134"/>
      <c r="G48" s="134"/>
      <c r="H48" s="66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8"/>
      <c r="AF48" s="189"/>
      <c r="AG48" s="190"/>
      <c r="AH48" s="191"/>
    </row>
    <row r="49" spans="1:34" ht="69.95" customHeight="1" thickBot="1" x14ac:dyDescent="0.3">
      <c r="A49" s="133" t="str">
        <f>_xlfn.CONCAT(PHP!A11, " ", PHP!C11, " ", PHP!D11, " ", PHP!B11, " ", IF(PHP!E11&lt;&gt;"","Frasco: " &amp; PHP!E11, ""), " ", IF(PHP!F11&lt;&gt;"","Cant. Solución: " &amp; PHP!F11, ""), " ",IF(PHP!G11&lt;&gt;"", "Incluir: " &amp; PHP!G11, ""), " ", IF(PHP!H11&lt;&gt;"", " Cant. Ampollas: " &amp; PHP!H11, ""), " ", IF(PHP!I11&lt;&gt;"","Observaciones: " &amp; PHP!I11, ""))</f>
        <v xml:space="preserve">        </v>
      </c>
      <c r="B49" s="134"/>
      <c r="C49" s="134"/>
      <c r="D49" s="134"/>
      <c r="E49" s="134"/>
      <c r="F49" s="134"/>
      <c r="G49" s="134"/>
      <c r="H49" s="52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1"/>
      <c r="AF49" s="189"/>
      <c r="AG49" s="190"/>
      <c r="AH49" s="191"/>
    </row>
    <row r="50" spans="1:34" ht="69.95" customHeight="1" thickBot="1" x14ac:dyDescent="0.3">
      <c r="A50" s="133" t="str">
        <f>_xlfn.CONCAT(PHP!A12, " ", PHP!C12, " ", PHP!D12, " ", PHP!B12, " ", IF(PHP!E12&lt;&gt;"","Frasco: " &amp; PHP!E12, ""), " ", IF(PHP!F12&lt;&gt;"","Cant. Solución: " &amp; PHP!F12, ""), " ",IF(PHP!G12&lt;&gt;"", "Incluir: " &amp; PHP!G12, ""), " ", IF(PHP!H12&lt;&gt;"", " Cant. Ampollas: " &amp; PHP!H12, ""), " ", IF(PHP!I12&lt;&gt;"","Observaciones: " &amp; PHP!I12, ""))</f>
        <v xml:space="preserve">        </v>
      </c>
      <c r="B50" s="134"/>
      <c r="C50" s="134"/>
      <c r="D50" s="134"/>
      <c r="E50" s="134"/>
      <c r="F50" s="134"/>
      <c r="G50" s="134"/>
      <c r="H50" s="66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8"/>
      <c r="AF50" s="189"/>
      <c r="AG50" s="190"/>
      <c r="AH50" s="191"/>
    </row>
    <row r="51" spans="1:34" ht="69.95" customHeight="1" thickBot="1" x14ac:dyDescent="0.3">
      <c r="A51" s="133" t="str">
        <f>_xlfn.CONCAT(PHP!A13, " ", PHP!C13, " ", PHP!D13, " ", PHP!B13, " ", IF(PHP!E13&lt;&gt;"","Frasco: " &amp; PHP!E13, ""), " ", IF(PHP!F13&lt;&gt;"","Cant. Solución: " &amp; PHP!F13, ""), " ",IF(PHP!G13&lt;&gt;"", "Incluir: " &amp; PHP!G13, ""), " ", IF(PHP!H13&lt;&gt;"", " Cant. Ampollas: " &amp; PHP!H13, ""), " ", IF(PHP!I13&lt;&gt;"","Observaciones: " &amp; PHP!I13, ""))</f>
        <v xml:space="preserve">        </v>
      </c>
      <c r="B51" s="134"/>
      <c r="C51" s="134"/>
      <c r="D51" s="134"/>
      <c r="E51" s="134"/>
      <c r="F51" s="134"/>
      <c r="G51" s="134"/>
      <c r="H51" s="52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1"/>
      <c r="AF51" s="192"/>
      <c r="AG51" s="193"/>
      <c r="AH51" s="194"/>
    </row>
    <row r="52" spans="1:34" ht="20.25" customHeight="1" thickBot="1" x14ac:dyDescent="0.3">
      <c r="A52" s="135" t="s">
        <v>20</v>
      </c>
      <c r="B52" s="136"/>
      <c r="C52" s="136"/>
      <c r="D52" s="136"/>
      <c r="E52" s="136"/>
      <c r="F52" s="136"/>
      <c r="G52" s="137"/>
      <c r="H52" s="67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  <c r="AB52" s="68"/>
      <c r="AC52" s="68"/>
      <c r="AD52" s="68"/>
      <c r="AE52" s="69"/>
      <c r="AF52" s="197" t="s">
        <v>21</v>
      </c>
      <c r="AG52" s="197"/>
      <c r="AH52" s="198"/>
    </row>
    <row r="53" spans="1:34" ht="23.25" x14ac:dyDescent="0.25">
      <c r="A53" s="77"/>
      <c r="B53" s="205"/>
      <c r="C53" s="206"/>
      <c r="D53" s="207"/>
      <c r="E53" s="206"/>
      <c r="F53" s="206"/>
      <c r="G53" s="214"/>
      <c r="H53" s="66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8"/>
      <c r="AF53" s="199"/>
      <c r="AG53" s="200"/>
      <c r="AH53" s="201"/>
    </row>
    <row r="54" spans="1:34" ht="23.25" x14ac:dyDescent="0.25">
      <c r="A54" s="74"/>
      <c r="B54" s="208"/>
      <c r="C54" s="209"/>
      <c r="D54" s="210"/>
      <c r="E54" s="209"/>
      <c r="F54" s="209"/>
      <c r="G54" s="215"/>
      <c r="H54" s="52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1"/>
      <c r="AF54" s="202"/>
      <c r="AG54" s="203"/>
      <c r="AH54" s="204"/>
    </row>
    <row r="55" spans="1:34" ht="23.25" x14ac:dyDescent="0.25">
      <c r="A55" s="75"/>
      <c r="B55" s="208"/>
      <c r="C55" s="209"/>
      <c r="D55" s="210"/>
      <c r="E55" s="209"/>
      <c r="F55" s="209"/>
      <c r="G55" s="215"/>
      <c r="H55" s="66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8"/>
      <c r="AF55" s="202"/>
      <c r="AG55" s="203"/>
      <c r="AH55" s="204"/>
    </row>
    <row r="56" spans="1:34" ht="24" thickBot="1" x14ac:dyDescent="0.3">
      <c r="A56" s="78"/>
      <c r="B56" s="211"/>
      <c r="C56" s="212"/>
      <c r="D56" s="213"/>
      <c r="E56" s="212"/>
      <c r="F56" s="212"/>
      <c r="G56" s="216"/>
      <c r="H56" s="76"/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9"/>
      <c r="AF56" s="202"/>
      <c r="AG56" s="203"/>
      <c r="AH56" s="204"/>
    </row>
    <row r="57" spans="1:34" ht="23.25" customHeight="1" x14ac:dyDescent="0.25">
      <c r="A57" s="113" t="s">
        <v>22</v>
      </c>
      <c r="B57" s="114"/>
      <c r="C57" s="114"/>
      <c r="D57" s="114"/>
      <c r="E57" s="114"/>
      <c r="F57" s="114"/>
      <c r="G57" s="115"/>
      <c r="H57" s="122"/>
      <c r="I57" s="123"/>
      <c r="J57" s="123"/>
      <c r="K57" s="123"/>
      <c r="L57" s="123"/>
      <c r="M57" s="123"/>
      <c r="N57" s="123"/>
      <c r="O57" s="124"/>
      <c r="P57" s="122"/>
      <c r="Q57" s="123"/>
      <c r="R57" s="123"/>
      <c r="S57" s="123"/>
      <c r="T57" s="123"/>
      <c r="U57" s="123"/>
      <c r="V57" s="123"/>
      <c r="W57" s="123"/>
      <c r="X57" s="124"/>
      <c r="Y57" s="122"/>
      <c r="Z57" s="123"/>
      <c r="AA57" s="123"/>
      <c r="AB57" s="123"/>
      <c r="AC57" s="123"/>
      <c r="AD57" s="123"/>
      <c r="AE57" s="124"/>
      <c r="AF57" s="202"/>
      <c r="AG57" s="203"/>
      <c r="AH57" s="204"/>
    </row>
    <row r="58" spans="1:34" ht="23.25" customHeight="1" x14ac:dyDescent="0.25">
      <c r="A58" s="116"/>
      <c r="B58" s="117"/>
      <c r="C58" s="117"/>
      <c r="D58" s="117"/>
      <c r="E58" s="117"/>
      <c r="F58" s="117"/>
      <c r="G58" s="118"/>
      <c r="H58" s="125"/>
      <c r="I58" s="126"/>
      <c r="J58" s="126"/>
      <c r="K58" s="126"/>
      <c r="L58" s="126"/>
      <c r="M58" s="126"/>
      <c r="N58" s="126"/>
      <c r="O58" s="127"/>
      <c r="P58" s="125"/>
      <c r="Q58" s="126"/>
      <c r="R58" s="126"/>
      <c r="S58" s="126"/>
      <c r="T58" s="126"/>
      <c r="U58" s="126"/>
      <c r="V58" s="126"/>
      <c r="W58" s="126"/>
      <c r="X58" s="127"/>
      <c r="Y58" s="125"/>
      <c r="Z58" s="126"/>
      <c r="AA58" s="126"/>
      <c r="AB58" s="126"/>
      <c r="AC58" s="126"/>
      <c r="AD58" s="126"/>
      <c r="AE58" s="127"/>
      <c r="AF58" s="202"/>
      <c r="AG58" s="203"/>
      <c r="AH58" s="204"/>
    </row>
    <row r="59" spans="1:34" ht="23.25" customHeight="1" x14ac:dyDescent="0.25">
      <c r="A59" s="116"/>
      <c r="B59" s="117"/>
      <c r="C59" s="117"/>
      <c r="D59" s="117"/>
      <c r="E59" s="117"/>
      <c r="F59" s="117"/>
      <c r="G59" s="118"/>
      <c r="H59" s="125"/>
      <c r="I59" s="126"/>
      <c r="J59" s="126"/>
      <c r="K59" s="126"/>
      <c r="L59" s="126"/>
      <c r="M59" s="126"/>
      <c r="N59" s="126"/>
      <c r="O59" s="127"/>
      <c r="P59" s="125"/>
      <c r="Q59" s="126"/>
      <c r="R59" s="126"/>
      <c r="S59" s="126"/>
      <c r="T59" s="126"/>
      <c r="U59" s="126"/>
      <c r="V59" s="126"/>
      <c r="W59" s="126"/>
      <c r="X59" s="127"/>
      <c r="Y59" s="125"/>
      <c r="Z59" s="126"/>
      <c r="AA59" s="126"/>
      <c r="AB59" s="126"/>
      <c r="AC59" s="126"/>
      <c r="AD59" s="126"/>
      <c r="AE59" s="127"/>
      <c r="AF59" s="202"/>
      <c r="AG59" s="203"/>
      <c r="AH59" s="204"/>
    </row>
    <row r="60" spans="1:34" ht="15" customHeight="1" x14ac:dyDescent="0.25">
      <c r="A60" s="116"/>
      <c r="B60" s="117"/>
      <c r="C60" s="117"/>
      <c r="D60" s="117"/>
      <c r="E60" s="117"/>
      <c r="F60" s="117"/>
      <c r="G60" s="118"/>
      <c r="H60" s="125"/>
      <c r="I60" s="126"/>
      <c r="J60" s="126"/>
      <c r="K60" s="126"/>
      <c r="L60" s="126"/>
      <c r="M60" s="126"/>
      <c r="N60" s="126"/>
      <c r="O60" s="127"/>
      <c r="P60" s="125"/>
      <c r="Q60" s="126"/>
      <c r="R60" s="126"/>
      <c r="S60" s="126"/>
      <c r="T60" s="126"/>
      <c r="U60" s="126"/>
      <c r="V60" s="126"/>
      <c r="W60" s="126"/>
      <c r="X60" s="127"/>
      <c r="Y60" s="125"/>
      <c r="Z60" s="126"/>
      <c r="AA60" s="126"/>
      <c r="AB60" s="126"/>
      <c r="AC60" s="126"/>
      <c r="AD60" s="126"/>
      <c r="AE60" s="127"/>
      <c r="AF60" s="202"/>
      <c r="AG60" s="203"/>
      <c r="AH60" s="204"/>
    </row>
    <row r="61" spans="1:34" ht="15.75" customHeight="1" thickBot="1" x14ac:dyDescent="0.3">
      <c r="A61" s="116"/>
      <c r="B61" s="117"/>
      <c r="C61" s="117"/>
      <c r="D61" s="117"/>
      <c r="E61" s="117"/>
      <c r="F61" s="117"/>
      <c r="G61" s="118"/>
      <c r="H61" s="125"/>
      <c r="I61" s="126"/>
      <c r="J61" s="126"/>
      <c r="K61" s="126"/>
      <c r="L61" s="126"/>
      <c r="M61" s="126"/>
      <c r="N61" s="126"/>
      <c r="O61" s="127"/>
      <c r="P61" s="125"/>
      <c r="Q61" s="126"/>
      <c r="R61" s="126"/>
      <c r="S61" s="126"/>
      <c r="T61" s="126"/>
      <c r="U61" s="126"/>
      <c r="V61" s="126"/>
      <c r="W61" s="126"/>
      <c r="X61" s="127"/>
      <c r="Y61" s="125"/>
      <c r="Z61" s="126"/>
      <c r="AA61" s="126"/>
      <c r="AB61" s="126"/>
      <c r="AC61" s="126"/>
      <c r="AD61" s="126"/>
      <c r="AE61" s="127"/>
      <c r="AF61" s="202"/>
      <c r="AG61" s="203"/>
      <c r="AH61" s="204"/>
    </row>
    <row r="62" spans="1:34" ht="24" customHeight="1" thickBot="1" x14ac:dyDescent="0.3">
      <c r="A62" s="119"/>
      <c r="B62" s="120"/>
      <c r="C62" s="120"/>
      <c r="D62" s="120"/>
      <c r="E62" s="120"/>
      <c r="F62" s="120"/>
      <c r="G62" s="121"/>
      <c r="H62" s="128"/>
      <c r="I62" s="129"/>
      <c r="J62" s="129"/>
      <c r="K62" s="129"/>
      <c r="L62" s="129"/>
      <c r="M62" s="129"/>
      <c r="N62" s="129"/>
      <c r="O62" s="130"/>
      <c r="P62" s="128"/>
      <c r="Q62" s="129"/>
      <c r="R62" s="129"/>
      <c r="S62" s="129"/>
      <c r="T62" s="129"/>
      <c r="U62" s="129"/>
      <c r="V62" s="129"/>
      <c r="W62" s="129"/>
      <c r="X62" s="130"/>
      <c r="Y62" s="128"/>
      <c r="Z62" s="129"/>
      <c r="AA62" s="129"/>
      <c r="AB62" s="129"/>
      <c r="AC62" s="129"/>
      <c r="AD62" s="129"/>
      <c r="AE62" s="130"/>
      <c r="AF62" s="195" t="s">
        <v>21</v>
      </c>
      <c r="AG62" s="195"/>
      <c r="AH62" s="196"/>
    </row>
    <row r="65" spans="1:1" x14ac:dyDescent="0.25">
      <c r="A65" s="86" t="s">
        <v>23</v>
      </c>
    </row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2pwcV9ycamMJ7yPMCq4G/d9FNGBREQbkkRwVNUy3NLpTw0UTOstoK44/WOSkRgYjdJRugPoaS5cA6pEpLKF3Yg==" saltValue="aXkzUhMI9goUOpi8u5oVHQ==" spinCount="100000" sqref="G6:G31" name="Farmacia"/>
  </protectedRanges>
  <mergeCells count="81">
    <mergeCell ref="A47:G47"/>
    <mergeCell ref="A45:G45"/>
    <mergeCell ref="A44:G44"/>
    <mergeCell ref="A43:G43"/>
    <mergeCell ref="A42:G42"/>
    <mergeCell ref="B53:D53"/>
    <mergeCell ref="B54:D54"/>
    <mergeCell ref="B55:D55"/>
    <mergeCell ref="B56:D56"/>
    <mergeCell ref="E53:G53"/>
    <mergeCell ref="E54:G54"/>
    <mergeCell ref="E55:G55"/>
    <mergeCell ref="E56:G56"/>
    <mergeCell ref="P57:X62"/>
    <mergeCell ref="Y57:AE62"/>
    <mergeCell ref="AF27:AH27"/>
    <mergeCell ref="AF28:AH28"/>
    <mergeCell ref="AF29:AH51"/>
    <mergeCell ref="AF62:AH62"/>
    <mergeCell ref="AF52:AH52"/>
    <mergeCell ref="AF53:AH61"/>
    <mergeCell ref="A40:G40"/>
    <mergeCell ref="A37:G37"/>
    <mergeCell ref="A32:G32"/>
    <mergeCell ref="A33:G33"/>
    <mergeCell ref="A35:G35"/>
    <mergeCell ref="A36:G36"/>
    <mergeCell ref="A34:G34"/>
    <mergeCell ref="A38:G38"/>
    <mergeCell ref="A28:F29"/>
    <mergeCell ref="G28:G29"/>
    <mergeCell ref="E22:F22"/>
    <mergeCell ref="E16:F16"/>
    <mergeCell ref="E17:F17"/>
    <mergeCell ref="E18:F18"/>
    <mergeCell ref="E19:F19"/>
    <mergeCell ref="E20:F20"/>
    <mergeCell ref="E6:F6"/>
    <mergeCell ref="E7:F7"/>
    <mergeCell ref="E8:F8"/>
    <mergeCell ref="AF6:AH6"/>
    <mergeCell ref="E9:F9"/>
    <mergeCell ref="AF7:AH10"/>
    <mergeCell ref="E10:F10"/>
    <mergeCell ref="A1:G1"/>
    <mergeCell ref="H1:AH1"/>
    <mergeCell ref="H2:AE5"/>
    <mergeCell ref="AF2:AH5"/>
    <mergeCell ref="B4:C4"/>
    <mergeCell ref="E5:F5"/>
    <mergeCell ref="E2:F2"/>
    <mergeCell ref="B2:D2"/>
    <mergeCell ref="B3:G3"/>
    <mergeCell ref="D4:G4"/>
    <mergeCell ref="A57:G62"/>
    <mergeCell ref="H57:O62"/>
    <mergeCell ref="E23:F23"/>
    <mergeCell ref="E24:F24"/>
    <mergeCell ref="E15:F15"/>
    <mergeCell ref="A41:G41"/>
    <mergeCell ref="A46:G46"/>
    <mergeCell ref="A52:G52"/>
    <mergeCell ref="A50:G50"/>
    <mergeCell ref="A51:G51"/>
    <mergeCell ref="A48:G48"/>
    <mergeCell ref="A49:G49"/>
    <mergeCell ref="A30:F31"/>
    <mergeCell ref="G30:G31"/>
    <mergeCell ref="A39:G39"/>
    <mergeCell ref="A25:G25"/>
    <mergeCell ref="AF11:AH14"/>
    <mergeCell ref="AF15:AH18"/>
    <mergeCell ref="AF19:AH22"/>
    <mergeCell ref="AF23:AH26"/>
    <mergeCell ref="E21:F21"/>
    <mergeCell ref="E14:F14"/>
    <mergeCell ref="E11:F11"/>
    <mergeCell ref="E13:F13"/>
    <mergeCell ref="E12:F12"/>
    <mergeCell ref="A26:F27"/>
    <mergeCell ref="G26:G27"/>
  </mergeCells>
  <conditionalFormatting sqref="H7">
    <cfRule type="iconSet" priority="1">
      <iconSet iconSet="3Symbols">
        <cfvo type="percent" val="0"/>
        <cfvo type="percent" val="33"/>
        <cfvo type="percent" val="67"/>
      </iconSet>
    </cfRule>
  </conditionalFormatting>
  <dataValidations count="8">
    <dataValidation type="list" allowBlank="1" showInputMessage="1" showErrorMessage="1" sqref="D5" xr:uid="{C0A6D322-4905-4535-B45C-9126FA515BB9}">
      <formula1>Horario</formula1>
    </dataValidation>
    <dataValidation type="list" allowBlank="1" showInputMessage="1" showErrorMessage="1" sqref="A7:A24" xr:uid="{C4BBBABE-BC64-4178-839B-4F6F55A31CFE}">
      <formula1>Medicacion</formula1>
    </dataValidation>
    <dataValidation type="list" allowBlank="1" showInputMessage="1" showErrorMessage="1" sqref="C7:C24" xr:uid="{9685F523-F363-4A7E-8560-DC8EE4949CD4}">
      <formula1>VIAS</formula1>
    </dataValidation>
    <dataValidation type="list" allowBlank="1" showInputMessage="1" showErrorMessage="1" sqref="E7:F24" xr:uid="{EDE0274A-EFA4-4BB9-9709-B164BF0B70D7}">
      <formula1>POSOLOGIA</formula1>
    </dataValidation>
    <dataValidation type="custom" allowBlank="1" showInputMessage="1" showErrorMessage="1" sqref="H28:AE28 H30:AE30 Q32:AE56 I32:O56 H32:H59 P32:P59 H7:AE26" xr:uid="{66238144-357F-417E-9303-0C09F8D64254}">
      <formula1>H7="X"</formula1>
    </dataValidation>
    <dataValidation type="custom" allowBlank="1" showInputMessage="1" showErrorMessage="1" sqref="G2" xr:uid="{170A6D0B-59B1-4B34-B38A-1FE201B95428}">
      <formula1>AND(ISBLANK(C2)=FALSE, ISBLANK(G2)=FALSE)</formula1>
    </dataValidation>
    <dataValidation type="custom" allowBlank="1" showInputMessage="1" showErrorMessage="1" error="Debe completar los campos requeridos" promptTitle="COMPLETAR DATOS" sqref="B2:D2" xr:uid="{E1196F42-6E3B-4D95-B4FA-F1F710423D6B}">
      <formula1>AND(ISBLANK(XFB2)=FALSE, ISBLANK(B2)=FALSE)</formula1>
    </dataValidation>
    <dataValidation type="list" allowBlank="1" showInputMessage="1" showErrorMessage="1" sqref="A53:G56" xr:uid="{77F2F01F-991B-4B3E-ADDD-2EE5B2859D47}">
      <formula1>CONTROLES</formula1>
    </dataValidation>
  </dataValidations>
  <pageMargins left="0.19685039370078738" right="0.19685039370078738" top="0.19685039370078738" bottom="0.19685039370078738" header="0.3" footer="0.3"/>
  <pageSetup paperSize="9" scale="3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uardarCopiaConNombreDeCelda">
                <anchor moveWithCells="1" sizeWithCells="1">
                  <from>
                    <xdr:col>19</xdr:col>
                    <xdr:colOff>333375</xdr:colOff>
                    <xdr:row>0</xdr:row>
                    <xdr:rowOff>66675</xdr:rowOff>
                  </from>
                  <to>
                    <xdr:col>24</xdr:col>
                    <xdr:colOff>114300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ImprimirEnOrientacionHorizontal">
                <anchor moveWithCells="1" sizeWithCells="1">
                  <from>
                    <xdr:col>24</xdr:col>
                    <xdr:colOff>314325</xdr:colOff>
                    <xdr:row>0</xdr:row>
                    <xdr:rowOff>66675</xdr:rowOff>
                  </from>
                  <to>
                    <xdr:col>29</xdr:col>
                    <xdr:colOff>95250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rAPHP">
                <anchor moveWithCells="1" sizeWithCells="1">
                  <from>
                    <xdr:col>0</xdr:col>
                    <xdr:colOff>3857625</xdr:colOff>
                    <xdr:row>38</xdr:row>
                    <xdr:rowOff>0</xdr:rowOff>
                  </from>
                  <to>
                    <xdr:col>2</xdr:col>
                    <xdr:colOff>295275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Button 16">
              <controlPr defaultSize="0" print="0" autoFill="0" autoPict="0" macro="[0]!LimpiarDatos">
                <anchor moveWithCells="1" sizeWithCells="1">
                  <from>
                    <xdr:col>29</xdr:col>
                    <xdr:colOff>285750</xdr:colOff>
                    <xdr:row>0</xdr:row>
                    <xdr:rowOff>66675</xdr:rowOff>
                  </from>
                  <to>
                    <xdr:col>33</xdr:col>
                    <xdr:colOff>438150</xdr:colOff>
                    <xdr:row>0</xdr:row>
                    <xdr:rowOff>600075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231B2AE7-0B83-4DCE-B0D4-E9D0C8826C54}">
            <x14:iconSet custom="1">
              <x14:cfvo type="percent">
                <xm:f>0</xm:f>
              </x14:cfvo>
              <x14:cfvo type="num">
                <xm:f>$D$5</xm:f>
              </x14:cfvo>
              <x14:cfvo type="num">
                <xm:f>$D$5</xm:f>
              </x14:cfvo>
              <x14:cfIcon iconSet="3Symbols" iconId="0"/>
              <x14:cfIcon iconSet="3Symbols" iconId="0"/>
              <x14:cfIcon iconSet="3Symbols" iconId="0"/>
            </x14:iconSet>
          </x14:cfRule>
          <xm:sqref>H7:AE7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CD3BF-D7A0-49AF-A303-ED5CAC2414BA}">
  <sheetPr codeName="Hoja8"/>
  <dimension ref="A1:N25"/>
  <sheetViews>
    <sheetView workbookViewId="0">
      <selection activeCell="N2" sqref="N2"/>
    </sheetView>
  </sheetViews>
  <sheetFormatPr baseColWidth="10" defaultColWidth="11.42578125" defaultRowHeight="15" x14ac:dyDescent="0.25"/>
  <cols>
    <col min="1" max="1" width="37" bestFit="1" customWidth="1"/>
    <col min="5" max="5" width="14.85546875" bestFit="1" customWidth="1"/>
    <col min="11" max="11" width="25.28515625" bestFit="1" customWidth="1"/>
  </cols>
  <sheetData>
    <row r="1" spans="1:14" x14ac:dyDescent="0.25">
      <c r="A1" t="s">
        <v>24</v>
      </c>
      <c r="C1" t="s">
        <v>25</v>
      </c>
      <c r="E1" t="s">
        <v>26</v>
      </c>
      <c r="J1" t="s">
        <v>27</v>
      </c>
      <c r="K1" t="s">
        <v>28</v>
      </c>
      <c r="L1" t="s">
        <v>29</v>
      </c>
      <c r="N1" t="s">
        <v>30</v>
      </c>
    </row>
    <row r="2" spans="1:14" x14ac:dyDescent="0.25">
      <c r="A2" t="s">
        <v>31</v>
      </c>
      <c r="C2" t="s">
        <v>32</v>
      </c>
      <c r="E2" t="s">
        <v>33</v>
      </c>
      <c r="K2" t="s">
        <v>34</v>
      </c>
    </row>
    <row r="3" spans="1:14" x14ac:dyDescent="0.25">
      <c r="A3" t="s">
        <v>35</v>
      </c>
      <c r="C3" t="s">
        <v>36</v>
      </c>
      <c r="E3" t="s">
        <v>37</v>
      </c>
      <c r="F3" t="s">
        <v>38</v>
      </c>
      <c r="G3" t="s">
        <v>39</v>
      </c>
      <c r="H3" t="s">
        <v>40</v>
      </c>
      <c r="K3" t="s">
        <v>41</v>
      </c>
    </row>
    <row r="4" spans="1:14" x14ac:dyDescent="0.25">
      <c r="A4" t="s">
        <v>42</v>
      </c>
      <c r="C4" t="s">
        <v>43</v>
      </c>
    </row>
    <row r="5" spans="1:14" x14ac:dyDescent="0.25">
      <c r="A5" t="s">
        <v>44</v>
      </c>
    </row>
    <row r="6" spans="1:14" x14ac:dyDescent="0.25">
      <c r="A6" t="s">
        <v>45</v>
      </c>
    </row>
    <row r="7" spans="1:14" x14ac:dyDescent="0.25">
      <c r="A7" t="s">
        <v>46</v>
      </c>
    </row>
    <row r="8" spans="1:14" x14ac:dyDescent="0.25">
      <c r="A8" t="s">
        <v>47</v>
      </c>
    </row>
    <row r="9" spans="1:14" x14ac:dyDescent="0.25">
      <c r="A9" t="s">
        <v>48</v>
      </c>
    </row>
    <row r="10" spans="1:14" x14ac:dyDescent="0.25">
      <c r="A10" t="s">
        <v>49</v>
      </c>
    </row>
    <row r="11" spans="1:14" x14ac:dyDescent="0.25">
      <c r="A11" t="s">
        <v>50</v>
      </c>
    </row>
    <row r="12" spans="1:14" x14ac:dyDescent="0.25">
      <c r="A12" t="s">
        <v>51</v>
      </c>
    </row>
    <row r="13" spans="1:14" x14ac:dyDescent="0.25">
      <c r="A13" t="s">
        <v>52</v>
      </c>
    </row>
    <row r="14" spans="1:14" x14ac:dyDescent="0.25">
      <c r="A14" t="s">
        <v>53</v>
      </c>
    </row>
    <row r="15" spans="1:14" x14ac:dyDescent="0.25">
      <c r="A15" t="s">
        <v>54</v>
      </c>
    </row>
    <row r="16" spans="1:14" x14ac:dyDescent="0.25">
      <c r="A16" t="s">
        <v>55</v>
      </c>
    </row>
    <row r="17" spans="1:1" x14ac:dyDescent="0.25">
      <c r="A17" t="s">
        <v>56</v>
      </c>
    </row>
    <row r="18" spans="1:1" x14ac:dyDescent="0.25">
      <c r="A18" t="s">
        <v>57</v>
      </c>
    </row>
    <row r="19" spans="1:1" x14ac:dyDescent="0.25">
      <c r="A19" t="s">
        <v>58</v>
      </c>
    </row>
    <row r="20" spans="1:1" x14ac:dyDescent="0.25">
      <c r="A20" t="s">
        <v>59</v>
      </c>
    </row>
    <row r="21" spans="1:1" x14ac:dyDescent="0.25">
      <c r="A21" t="s">
        <v>60</v>
      </c>
    </row>
    <row r="22" spans="1:1" x14ac:dyDescent="0.25">
      <c r="A22" t="s">
        <v>61</v>
      </c>
    </row>
    <row r="23" spans="1:1" x14ac:dyDescent="0.25">
      <c r="A23" t="s">
        <v>62</v>
      </c>
    </row>
    <row r="24" spans="1:1" x14ac:dyDescent="0.25">
      <c r="A24" t="s">
        <v>63</v>
      </c>
    </row>
    <row r="25" spans="1:1" x14ac:dyDescent="0.25">
      <c r="A25" t="s">
        <v>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95C73-8963-40E2-ACB2-7F12340D1D2D}">
  <sheetPr codeName="Hoja2"/>
  <dimension ref="A1:CB170"/>
  <sheetViews>
    <sheetView workbookViewId="0">
      <pane ySplit="11" topLeftCell="A12" activePane="bottomLeft" state="frozenSplit"/>
      <selection pane="bottomLeft" activeCell="D15" sqref="D15"/>
    </sheetView>
  </sheetViews>
  <sheetFormatPr baseColWidth="10" defaultColWidth="11.42578125" defaultRowHeight="15" x14ac:dyDescent="0.25"/>
  <cols>
    <col min="1" max="1" width="21" bestFit="1" customWidth="1"/>
    <col min="2" max="2" width="20.28515625" bestFit="1" customWidth="1"/>
    <col min="3" max="3" width="15.42578125" customWidth="1"/>
    <col min="4" max="4" width="17.42578125" bestFit="1" customWidth="1"/>
    <col min="5" max="5" width="55.42578125" customWidth="1"/>
    <col min="6" max="6" width="26.28515625" bestFit="1" customWidth="1"/>
    <col min="7" max="7" width="42.5703125" bestFit="1" customWidth="1"/>
    <col min="8" max="8" width="27.140625" bestFit="1" customWidth="1"/>
    <col min="9" max="9" width="28.42578125" bestFit="1" customWidth="1"/>
    <col min="80" max="80" width="59" bestFit="1" customWidth="1"/>
  </cols>
  <sheetData>
    <row r="1" spans="1:80" ht="35.1" customHeight="1" thickBot="1" x14ac:dyDescent="0.3">
      <c r="A1" s="31" t="s">
        <v>65</v>
      </c>
      <c r="B1" s="32" t="s">
        <v>12</v>
      </c>
      <c r="C1" s="33" t="s">
        <v>66</v>
      </c>
      <c r="D1" s="32" t="s">
        <v>67</v>
      </c>
      <c r="E1" s="34" t="s">
        <v>68</v>
      </c>
      <c r="F1" s="89" t="s">
        <v>69</v>
      </c>
      <c r="G1" s="84" t="s">
        <v>70</v>
      </c>
      <c r="H1" s="85" t="s">
        <v>71</v>
      </c>
      <c r="I1" s="35" t="s">
        <v>17</v>
      </c>
      <c r="CB1" t="s">
        <v>72</v>
      </c>
    </row>
    <row r="2" spans="1:80" ht="35.1" customHeight="1" x14ac:dyDescent="0.25">
      <c r="A2" s="28"/>
      <c r="B2" s="29"/>
      <c r="C2" s="30"/>
      <c r="D2" s="30"/>
      <c r="E2" s="29"/>
      <c r="F2" s="30"/>
      <c r="G2" s="9"/>
      <c r="H2" s="12"/>
      <c r="I2" s="27"/>
      <c r="CB2" t="s">
        <v>73</v>
      </c>
    </row>
    <row r="3" spans="1:80" ht="35.1" customHeight="1" x14ac:dyDescent="0.25">
      <c r="A3" s="11"/>
      <c r="B3" s="9"/>
      <c r="C3" s="12"/>
      <c r="D3" s="12"/>
      <c r="E3" s="9"/>
      <c r="F3" s="12"/>
      <c r="G3" s="9"/>
      <c r="H3" s="12"/>
      <c r="I3" s="27"/>
    </row>
    <row r="4" spans="1:80" ht="35.1" customHeight="1" x14ac:dyDescent="0.25">
      <c r="A4" s="11"/>
      <c r="B4" s="9"/>
      <c r="C4" s="12"/>
      <c r="D4" s="12"/>
      <c r="E4" s="9"/>
      <c r="F4" s="12"/>
      <c r="G4" s="9"/>
      <c r="H4" s="12"/>
      <c r="I4" s="27"/>
    </row>
    <row r="5" spans="1:80" ht="35.1" customHeight="1" x14ac:dyDescent="0.25">
      <c r="A5" s="11"/>
      <c r="B5" s="9"/>
      <c r="C5" s="12"/>
      <c r="D5" s="12"/>
      <c r="E5" s="9"/>
      <c r="F5" s="12"/>
      <c r="G5" s="9"/>
      <c r="H5" s="12"/>
      <c r="I5" s="27"/>
    </row>
    <row r="6" spans="1:80" ht="35.1" customHeight="1" x14ac:dyDescent="0.25">
      <c r="A6" s="11"/>
      <c r="B6" s="9"/>
      <c r="C6" s="12"/>
      <c r="D6" s="12"/>
      <c r="E6" s="9"/>
      <c r="F6" s="12"/>
      <c r="G6" s="9"/>
      <c r="H6" s="12"/>
      <c r="I6" s="27"/>
    </row>
    <row r="7" spans="1:80" ht="35.1" customHeight="1" x14ac:dyDescent="0.25">
      <c r="A7" s="11"/>
      <c r="B7" s="9"/>
      <c r="C7" s="12"/>
      <c r="D7" s="12"/>
      <c r="E7" s="9"/>
      <c r="F7" s="12"/>
      <c r="G7" s="9"/>
      <c r="H7" s="12"/>
      <c r="I7" s="27"/>
    </row>
    <row r="8" spans="1:80" ht="35.1" customHeight="1" x14ac:dyDescent="0.25">
      <c r="A8" s="11"/>
      <c r="B8" s="9"/>
      <c r="C8" s="12"/>
      <c r="D8" s="12"/>
      <c r="E8" s="9"/>
      <c r="F8" s="30"/>
      <c r="G8" s="9"/>
      <c r="H8" s="12"/>
      <c r="I8" s="27"/>
      <c r="CB8" t="s">
        <v>74</v>
      </c>
    </row>
    <row r="9" spans="1:80" ht="35.1" customHeight="1" x14ac:dyDescent="0.25">
      <c r="A9" s="11"/>
      <c r="B9" s="9"/>
      <c r="C9" s="12"/>
      <c r="D9" s="12"/>
      <c r="E9" s="9"/>
      <c r="F9" s="30"/>
      <c r="G9" s="9"/>
      <c r="H9" s="12"/>
      <c r="I9" s="27"/>
      <c r="CB9" t="s">
        <v>75</v>
      </c>
    </row>
    <row r="10" spans="1:80" ht="35.1" customHeight="1" x14ac:dyDescent="0.25">
      <c r="A10" s="11"/>
      <c r="B10" s="9"/>
      <c r="C10" s="12"/>
      <c r="D10" s="12"/>
      <c r="E10" s="9"/>
      <c r="F10" s="30"/>
      <c r="G10" s="9"/>
      <c r="H10" s="12"/>
      <c r="I10" s="27"/>
      <c r="CB10" t="s">
        <v>76</v>
      </c>
    </row>
    <row r="11" spans="1:80" ht="35.1" customHeight="1" x14ac:dyDescent="0.25">
      <c r="A11" s="11"/>
      <c r="B11" s="9"/>
      <c r="C11" s="12"/>
      <c r="D11" s="12"/>
      <c r="E11" s="9"/>
      <c r="F11" s="30"/>
      <c r="G11" s="9"/>
      <c r="H11" s="12"/>
      <c r="I11" s="27"/>
      <c r="CB11" t="s">
        <v>77</v>
      </c>
    </row>
    <row r="12" spans="1:80" ht="35.1" customHeight="1" x14ac:dyDescent="0.25">
      <c r="A12" s="11"/>
      <c r="B12" s="9"/>
      <c r="C12" s="12"/>
      <c r="D12" s="12"/>
      <c r="E12" s="9"/>
      <c r="F12" s="30"/>
      <c r="G12" s="9"/>
      <c r="H12" s="12"/>
      <c r="I12" s="27"/>
      <c r="CB12" t="s">
        <v>78</v>
      </c>
    </row>
    <row r="13" spans="1:80" ht="35.1" customHeight="1" x14ac:dyDescent="0.25">
      <c r="A13" s="11"/>
      <c r="B13" s="9"/>
      <c r="C13" s="12"/>
      <c r="D13" s="12"/>
      <c r="E13" s="9"/>
      <c r="F13" s="30"/>
      <c r="G13" s="9"/>
      <c r="H13" s="12"/>
      <c r="I13" s="27"/>
      <c r="CB13" t="s">
        <v>79</v>
      </c>
    </row>
    <row r="14" spans="1:80" x14ac:dyDescent="0.25">
      <c r="CB14" t="s">
        <v>80</v>
      </c>
    </row>
    <row r="15" spans="1:80" x14ac:dyDescent="0.25">
      <c r="CB15" t="s">
        <v>81</v>
      </c>
    </row>
    <row r="16" spans="1:80" x14ac:dyDescent="0.25">
      <c r="CB16" t="s">
        <v>82</v>
      </c>
    </row>
    <row r="17" spans="80:80" x14ac:dyDescent="0.25">
      <c r="CB17" t="s">
        <v>83</v>
      </c>
    </row>
    <row r="18" spans="80:80" x14ac:dyDescent="0.25">
      <c r="CB18" t="s">
        <v>84</v>
      </c>
    </row>
    <row r="19" spans="80:80" x14ac:dyDescent="0.25">
      <c r="CB19" t="s">
        <v>85</v>
      </c>
    </row>
    <row r="20" spans="80:80" x14ac:dyDescent="0.25">
      <c r="CB20" t="s">
        <v>86</v>
      </c>
    </row>
    <row r="21" spans="80:80" x14ac:dyDescent="0.25">
      <c r="CB21" t="s">
        <v>87</v>
      </c>
    </row>
    <row r="22" spans="80:80" x14ac:dyDescent="0.25">
      <c r="CB22" t="s">
        <v>88</v>
      </c>
    </row>
    <row r="23" spans="80:80" x14ac:dyDescent="0.25">
      <c r="CB23" t="s">
        <v>89</v>
      </c>
    </row>
    <row r="24" spans="80:80" x14ac:dyDescent="0.25">
      <c r="CB24" t="s">
        <v>90</v>
      </c>
    </row>
    <row r="25" spans="80:80" x14ac:dyDescent="0.25">
      <c r="CB25" t="s">
        <v>91</v>
      </c>
    </row>
    <row r="26" spans="80:80" x14ac:dyDescent="0.25">
      <c r="CB26" t="s">
        <v>92</v>
      </c>
    </row>
    <row r="27" spans="80:80" x14ac:dyDescent="0.25">
      <c r="CB27" t="s">
        <v>93</v>
      </c>
    </row>
    <row r="28" spans="80:80" x14ac:dyDescent="0.25">
      <c r="CB28" t="s">
        <v>94</v>
      </c>
    </row>
    <row r="29" spans="80:80" x14ac:dyDescent="0.25">
      <c r="CB29" t="s">
        <v>95</v>
      </c>
    </row>
    <row r="30" spans="80:80" x14ac:dyDescent="0.25">
      <c r="CB30" t="s">
        <v>96</v>
      </c>
    </row>
    <row r="31" spans="80:80" x14ac:dyDescent="0.25">
      <c r="CB31" t="s">
        <v>97</v>
      </c>
    </row>
    <row r="32" spans="80:80" x14ac:dyDescent="0.25">
      <c r="CB32" t="s">
        <v>98</v>
      </c>
    </row>
    <row r="33" spans="80:80" x14ac:dyDescent="0.25">
      <c r="CB33" t="s">
        <v>99</v>
      </c>
    </row>
    <row r="34" spans="80:80" x14ac:dyDescent="0.25">
      <c r="CB34" t="s">
        <v>100</v>
      </c>
    </row>
    <row r="35" spans="80:80" x14ac:dyDescent="0.25">
      <c r="CB35" t="s">
        <v>101</v>
      </c>
    </row>
    <row r="36" spans="80:80" x14ac:dyDescent="0.25">
      <c r="CB36" t="s">
        <v>102</v>
      </c>
    </row>
    <row r="37" spans="80:80" x14ac:dyDescent="0.25">
      <c r="CB37" t="s">
        <v>103</v>
      </c>
    </row>
    <row r="38" spans="80:80" x14ac:dyDescent="0.25">
      <c r="CB38" t="s">
        <v>104</v>
      </c>
    </row>
    <row r="39" spans="80:80" x14ac:dyDescent="0.25">
      <c r="CB39" t="s">
        <v>105</v>
      </c>
    </row>
    <row r="40" spans="80:80" x14ac:dyDescent="0.25">
      <c r="CB40" t="s">
        <v>106</v>
      </c>
    </row>
    <row r="41" spans="80:80" x14ac:dyDescent="0.25">
      <c r="CB41" t="s">
        <v>107</v>
      </c>
    </row>
    <row r="42" spans="80:80" x14ac:dyDescent="0.25">
      <c r="CB42" t="s">
        <v>108</v>
      </c>
    </row>
    <row r="43" spans="80:80" x14ac:dyDescent="0.25">
      <c r="CB43" t="s">
        <v>109</v>
      </c>
    </row>
    <row r="44" spans="80:80" x14ac:dyDescent="0.25">
      <c r="CB44" t="s">
        <v>110</v>
      </c>
    </row>
    <row r="45" spans="80:80" x14ac:dyDescent="0.25">
      <c r="CB45" t="s">
        <v>111</v>
      </c>
    </row>
    <row r="46" spans="80:80" x14ac:dyDescent="0.25">
      <c r="CB46" t="s">
        <v>112</v>
      </c>
    </row>
    <row r="47" spans="80:80" x14ac:dyDescent="0.25">
      <c r="CB47" t="s">
        <v>113</v>
      </c>
    </row>
    <row r="48" spans="80:80" x14ac:dyDescent="0.25">
      <c r="CB48" t="s">
        <v>114</v>
      </c>
    </row>
    <row r="49" spans="80:80" x14ac:dyDescent="0.25">
      <c r="CB49" t="s">
        <v>115</v>
      </c>
    </row>
    <row r="50" spans="80:80" x14ac:dyDescent="0.25">
      <c r="CB50" t="s">
        <v>116</v>
      </c>
    </row>
    <row r="51" spans="80:80" x14ac:dyDescent="0.25">
      <c r="CB51" t="s">
        <v>117</v>
      </c>
    </row>
    <row r="52" spans="80:80" x14ac:dyDescent="0.25">
      <c r="CB52" t="s">
        <v>118</v>
      </c>
    </row>
    <row r="53" spans="80:80" x14ac:dyDescent="0.25">
      <c r="CB53" t="s">
        <v>119</v>
      </c>
    </row>
    <row r="54" spans="80:80" x14ac:dyDescent="0.25">
      <c r="CB54" t="s">
        <v>120</v>
      </c>
    </row>
    <row r="55" spans="80:80" x14ac:dyDescent="0.25">
      <c r="CB55" t="s">
        <v>121</v>
      </c>
    </row>
    <row r="56" spans="80:80" x14ac:dyDescent="0.25">
      <c r="CB56" t="s">
        <v>122</v>
      </c>
    </row>
    <row r="57" spans="80:80" x14ac:dyDescent="0.25">
      <c r="CB57" t="s">
        <v>123</v>
      </c>
    </row>
    <row r="58" spans="80:80" x14ac:dyDescent="0.25">
      <c r="CB58" t="s">
        <v>124</v>
      </c>
    </row>
    <row r="59" spans="80:80" x14ac:dyDescent="0.25">
      <c r="CB59" t="s">
        <v>125</v>
      </c>
    </row>
    <row r="60" spans="80:80" x14ac:dyDescent="0.25">
      <c r="CB60" t="s">
        <v>126</v>
      </c>
    </row>
    <row r="61" spans="80:80" x14ac:dyDescent="0.25">
      <c r="CB61" t="s">
        <v>127</v>
      </c>
    </row>
    <row r="62" spans="80:80" x14ac:dyDescent="0.25">
      <c r="CB62" t="s">
        <v>128</v>
      </c>
    </row>
    <row r="63" spans="80:80" x14ac:dyDescent="0.25">
      <c r="CB63" t="s">
        <v>129</v>
      </c>
    </row>
    <row r="64" spans="80:80" x14ac:dyDescent="0.25">
      <c r="CB64" t="s">
        <v>130</v>
      </c>
    </row>
    <row r="65" spans="80:80" x14ac:dyDescent="0.25">
      <c r="CB65" t="s">
        <v>131</v>
      </c>
    </row>
    <row r="66" spans="80:80" x14ac:dyDescent="0.25">
      <c r="CB66" t="s">
        <v>132</v>
      </c>
    </row>
    <row r="67" spans="80:80" x14ac:dyDescent="0.25">
      <c r="CB67" t="s">
        <v>133</v>
      </c>
    </row>
    <row r="68" spans="80:80" x14ac:dyDescent="0.25">
      <c r="CB68" t="s">
        <v>134</v>
      </c>
    </row>
    <row r="69" spans="80:80" x14ac:dyDescent="0.25">
      <c r="CB69" t="s">
        <v>135</v>
      </c>
    </row>
    <row r="70" spans="80:80" x14ac:dyDescent="0.25">
      <c r="CB70" t="s">
        <v>136</v>
      </c>
    </row>
    <row r="71" spans="80:80" x14ac:dyDescent="0.25">
      <c r="CB71" t="s">
        <v>137</v>
      </c>
    </row>
    <row r="72" spans="80:80" x14ac:dyDescent="0.25">
      <c r="CB72" t="s">
        <v>138</v>
      </c>
    </row>
    <row r="73" spans="80:80" x14ac:dyDescent="0.25">
      <c r="CB73" t="s">
        <v>139</v>
      </c>
    </row>
    <row r="74" spans="80:80" x14ac:dyDescent="0.25">
      <c r="CB74" t="s">
        <v>140</v>
      </c>
    </row>
    <row r="75" spans="80:80" x14ac:dyDescent="0.25">
      <c r="CB75" t="s">
        <v>141</v>
      </c>
    </row>
    <row r="76" spans="80:80" x14ac:dyDescent="0.25">
      <c r="CB76" t="s">
        <v>142</v>
      </c>
    </row>
    <row r="77" spans="80:80" x14ac:dyDescent="0.25">
      <c r="CB77" t="s">
        <v>143</v>
      </c>
    </row>
    <row r="78" spans="80:80" x14ac:dyDescent="0.25">
      <c r="CB78" t="s">
        <v>144</v>
      </c>
    </row>
    <row r="79" spans="80:80" x14ac:dyDescent="0.25">
      <c r="CB79" t="s">
        <v>145</v>
      </c>
    </row>
    <row r="80" spans="80:80" x14ac:dyDescent="0.25">
      <c r="CB80" t="s">
        <v>146</v>
      </c>
    </row>
    <row r="81" spans="80:80" x14ac:dyDescent="0.25">
      <c r="CB81" t="s">
        <v>147</v>
      </c>
    </row>
    <row r="82" spans="80:80" x14ac:dyDescent="0.25">
      <c r="CB82" t="s">
        <v>148</v>
      </c>
    </row>
    <row r="83" spans="80:80" x14ac:dyDescent="0.25">
      <c r="CB83" t="s">
        <v>149</v>
      </c>
    </row>
    <row r="84" spans="80:80" x14ac:dyDescent="0.25">
      <c r="CB84" t="s">
        <v>150</v>
      </c>
    </row>
    <row r="85" spans="80:80" x14ac:dyDescent="0.25">
      <c r="CB85" t="s">
        <v>151</v>
      </c>
    </row>
    <row r="86" spans="80:80" x14ac:dyDescent="0.25">
      <c r="CB86" t="s">
        <v>152</v>
      </c>
    </row>
    <row r="87" spans="80:80" x14ac:dyDescent="0.25">
      <c r="CB87" t="s">
        <v>153</v>
      </c>
    </row>
    <row r="88" spans="80:80" x14ac:dyDescent="0.25">
      <c r="CB88" t="s">
        <v>154</v>
      </c>
    </row>
    <row r="89" spans="80:80" x14ac:dyDescent="0.25">
      <c r="CB89" t="s">
        <v>155</v>
      </c>
    </row>
    <row r="90" spans="80:80" x14ac:dyDescent="0.25">
      <c r="CB90" t="s">
        <v>156</v>
      </c>
    </row>
    <row r="91" spans="80:80" x14ac:dyDescent="0.25">
      <c r="CB91" t="s">
        <v>157</v>
      </c>
    </row>
    <row r="92" spans="80:80" x14ac:dyDescent="0.25">
      <c r="CB92" t="s">
        <v>158</v>
      </c>
    </row>
    <row r="93" spans="80:80" x14ac:dyDescent="0.25">
      <c r="CB93" t="s">
        <v>159</v>
      </c>
    </row>
    <row r="94" spans="80:80" x14ac:dyDescent="0.25">
      <c r="CB94" t="s">
        <v>160</v>
      </c>
    </row>
    <row r="95" spans="80:80" x14ac:dyDescent="0.25">
      <c r="CB95" t="s">
        <v>161</v>
      </c>
    </row>
    <row r="96" spans="80:80" x14ac:dyDescent="0.25">
      <c r="CB96" t="s">
        <v>162</v>
      </c>
    </row>
    <row r="97" spans="80:80" x14ac:dyDescent="0.25">
      <c r="CB97" t="s">
        <v>163</v>
      </c>
    </row>
    <row r="98" spans="80:80" x14ac:dyDescent="0.25">
      <c r="CB98" t="s">
        <v>164</v>
      </c>
    </row>
    <row r="99" spans="80:80" x14ac:dyDescent="0.25">
      <c r="CB99" t="s">
        <v>165</v>
      </c>
    </row>
    <row r="100" spans="80:80" x14ac:dyDescent="0.25">
      <c r="CB100" t="s">
        <v>166</v>
      </c>
    </row>
    <row r="101" spans="80:80" x14ac:dyDescent="0.25">
      <c r="CB101" t="s">
        <v>167</v>
      </c>
    </row>
    <row r="102" spans="80:80" x14ac:dyDescent="0.25">
      <c r="CB102" t="s">
        <v>168</v>
      </c>
    </row>
    <row r="103" spans="80:80" x14ac:dyDescent="0.25">
      <c r="CB103" t="s">
        <v>169</v>
      </c>
    </row>
    <row r="104" spans="80:80" x14ac:dyDescent="0.25">
      <c r="CB104" t="s">
        <v>170</v>
      </c>
    </row>
    <row r="105" spans="80:80" x14ac:dyDescent="0.25">
      <c r="CB105" t="s">
        <v>171</v>
      </c>
    </row>
    <row r="106" spans="80:80" x14ac:dyDescent="0.25">
      <c r="CB106" t="s">
        <v>172</v>
      </c>
    </row>
    <row r="107" spans="80:80" x14ac:dyDescent="0.25">
      <c r="CB107" t="s">
        <v>173</v>
      </c>
    </row>
    <row r="108" spans="80:80" x14ac:dyDescent="0.25">
      <c r="CB108" t="s">
        <v>174</v>
      </c>
    </row>
    <row r="109" spans="80:80" x14ac:dyDescent="0.25">
      <c r="CB109" t="s">
        <v>175</v>
      </c>
    </row>
    <row r="110" spans="80:80" x14ac:dyDescent="0.25">
      <c r="CB110" t="s">
        <v>176</v>
      </c>
    </row>
    <row r="111" spans="80:80" x14ac:dyDescent="0.25">
      <c r="CB111" t="s">
        <v>177</v>
      </c>
    </row>
    <row r="112" spans="80:80" x14ac:dyDescent="0.25">
      <c r="CB112" t="s">
        <v>178</v>
      </c>
    </row>
    <row r="113" spans="80:80" x14ac:dyDescent="0.25">
      <c r="CB113" t="s">
        <v>179</v>
      </c>
    </row>
    <row r="114" spans="80:80" x14ac:dyDescent="0.25">
      <c r="CB114" t="s">
        <v>180</v>
      </c>
    </row>
    <row r="115" spans="80:80" x14ac:dyDescent="0.25">
      <c r="CB115" t="s">
        <v>181</v>
      </c>
    </row>
    <row r="116" spans="80:80" x14ac:dyDescent="0.25">
      <c r="CB116" t="s">
        <v>182</v>
      </c>
    </row>
    <row r="117" spans="80:80" x14ac:dyDescent="0.25">
      <c r="CB117" t="s">
        <v>183</v>
      </c>
    </row>
    <row r="118" spans="80:80" x14ac:dyDescent="0.25">
      <c r="CB118" t="s">
        <v>184</v>
      </c>
    </row>
    <row r="119" spans="80:80" x14ac:dyDescent="0.25">
      <c r="CB119" t="s">
        <v>185</v>
      </c>
    </row>
    <row r="120" spans="80:80" x14ac:dyDescent="0.25">
      <c r="CB120" t="s">
        <v>186</v>
      </c>
    </row>
    <row r="121" spans="80:80" x14ac:dyDescent="0.25">
      <c r="CB121" t="s">
        <v>187</v>
      </c>
    </row>
    <row r="122" spans="80:80" x14ac:dyDescent="0.25">
      <c r="CB122" t="s">
        <v>188</v>
      </c>
    </row>
    <row r="123" spans="80:80" x14ac:dyDescent="0.25">
      <c r="CB123" t="s">
        <v>189</v>
      </c>
    </row>
    <row r="124" spans="80:80" x14ac:dyDescent="0.25">
      <c r="CB124" t="s">
        <v>190</v>
      </c>
    </row>
    <row r="125" spans="80:80" x14ac:dyDescent="0.25">
      <c r="CB125" t="s">
        <v>191</v>
      </c>
    </row>
    <row r="126" spans="80:80" x14ac:dyDescent="0.25">
      <c r="CB126" t="s">
        <v>192</v>
      </c>
    </row>
    <row r="127" spans="80:80" x14ac:dyDescent="0.25">
      <c r="CB127" t="s">
        <v>193</v>
      </c>
    </row>
    <row r="128" spans="80:80" x14ac:dyDescent="0.25">
      <c r="CB128" t="s">
        <v>194</v>
      </c>
    </row>
    <row r="129" spans="80:80" x14ac:dyDescent="0.25">
      <c r="CB129" t="s">
        <v>195</v>
      </c>
    </row>
    <row r="130" spans="80:80" x14ac:dyDescent="0.25">
      <c r="CB130" t="s">
        <v>196</v>
      </c>
    </row>
    <row r="131" spans="80:80" x14ac:dyDescent="0.25">
      <c r="CB131" t="s">
        <v>197</v>
      </c>
    </row>
    <row r="132" spans="80:80" x14ac:dyDescent="0.25">
      <c r="CB132" t="s">
        <v>198</v>
      </c>
    </row>
    <row r="133" spans="80:80" x14ac:dyDescent="0.25">
      <c r="CB133" t="s">
        <v>199</v>
      </c>
    </row>
    <row r="134" spans="80:80" x14ac:dyDescent="0.25">
      <c r="CB134" t="s">
        <v>200</v>
      </c>
    </row>
    <row r="135" spans="80:80" x14ac:dyDescent="0.25">
      <c r="CB135" t="s">
        <v>201</v>
      </c>
    </row>
    <row r="136" spans="80:80" x14ac:dyDescent="0.25">
      <c r="CB136" t="s">
        <v>202</v>
      </c>
    </row>
    <row r="137" spans="80:80" x14ac:dyDescent="0.25">
      <c r="CB137" t="s">
        <v>203</v>
      </c>
    </row>
    <row r="138" spans="80:80" x14ac:dyDescent="0.25">
      <c r="CB138" t="s">
        <v>204</v>
      </c>
    </row>
    <row r="139" spans="80:80" x14ac:dyDescent="0.25">
      <c r="CB139" t="s">
        <v>205</v>
      </c>
    </row>
    <row r="140" spans="80:80" x14ac:dyDescent="0.25">
      <c r="CB140" t="s">
        <v>206</v>
      </c>
    </row>
    <row r="141" spans="80:80" x14ac:dyDescent="0.25">
      <c r="CB141" t="s">
        <v>207</v>
      </c>
    </row>
    <row r="142" spans="80:80" x14ac:dyDescent="0.25">
      <c r="CB142" t="s">
        <v>208</v>
      </c>
    </row>
    <row r="143" spans="80:80" x14ac:dyDescent="0.25">
      <c r="CB143" t="s">
        <v>209</v>
      </c>
    </row>
    <row r="144" spans="80:80" x14ac:dyDescent="0.25">
      <c r="CB144" t="s">
        <v>210</v>
      </c>
    </row>
    <row r="145" spans="80:80" x14ac:dyDescent="0.25">
      <c r="CB145" t="s">
        <v>211</v>
      </c>
    </row>
    <row r="146" spans="80:80" x14ac:dyDescent="0.25">
      <c r="CB146" t="s">
        <v>212</v>
      </c>
    </row>
    <row r="147" spans="80:80" x14ac:dyDescent="0.25">
      <c r="CB147" t="s">
        <v>213</v>
      </c>
    </row>
    <row r="148" spans="80:80" x14ac:dyDescent="0.25">
      <c r="CB148" t="s">
        <v>214</v>
      </c>
    </row>
    <row r="149" spans="80:80" x14ac:dyDescent="0.25">
      <c r="CB149" t="s">
        <v>215</v>
      </c>
    </row>
    <row r="150" spans="80:80" x14ac:dyDescent="0.25">
      <c r="CB150" t="s">
        <v>216</v>
      </c>
    </row>
    <row r="151" spans="80:80" x14ac:dyDescent="0.25">
      <c r="CB151" t="s">
        <v>217</v>
      </c>
    </row>
    <row r="152" spans="80:80" x14ac:dyDescent="0.25">
      <c r="CB152" t="s">
        <v>218</v>
      </c>
    </row>
    <row r="153" spans="80:80" x14ac:dyDescent="0.25">
      <c r="CB153" t="s">
        <v>219</v>
      </c>
    </row>
    <row r="154" spans="80:80" x14ac:dyDescent="0.25">
      <c r="CB154" t="s">
        <v>220</v>
      </c>
    </row>
    <row r="155" spans="80:80" x14ac:dyDescent="0.25">
      <c r="CB155" t="s">
        <v>221</v>
      </c>
    </row>
    <row r="156" spans="80:80" x14ac:dyDescent="0.25">
      <c r="CB156" t="s">
        <v>222</v>
      </c>
    </row>
    <row r="157" spans="80:80" x14ac:dyDescent="0.25">
      <c r="CB157" t="s">
        <v>223</v>
      </c>
    </row>
    <row r="158" spans="80:80" x14ac:dyDescent="0.25">
      <c r="CB158" t="s">
        <v>224</v>
      </c>
    </row>
    <row r="159" spans="80:80" x14ac:dyDescent="0.25">
      <c r="CB159" t="s">
        <v>225</v>
      </c>
    </row>
    <row r="160" spans="80:80" x14ac:dyDescent="0.25">
      <c r="CB160" t="s">
        <v>226</v>
      </c>
    </row>
    <row r="161" spans="80:80" x14ac:dyDescent="0.25">
      <c r="CB161" t="s">
        <v>227</v>
      </c>
    </row>
    <row r="162" spans="80:80" x14ac:dyDescent="0.25">
      <c r="CB162" t="s">
        <v>228</v>
      </c>
    </row>
    <row r="163" spans="80:80" x14ac:dyDescent="0.25">
      <c r="CB163" t="s">
        <v>229</v>
      </c>
    </row>
    <row r="164" spans="80:80" x14ac:dyDescent="0.25">
      <c r="CB164" t="s">
        <v>230</v>
      </c>
    </row>
    <row r="165" spans="80:80" x14ac:dyDescent="0.25">
      <c r="CB165" t="s">
        <v>231</v>
      </c>
    </row>
    <row r="166" spans="80:80" x14ac:dyDescent="0.25">
      <c r="CB166" t="s">
        <v>232</v>
      </c>
    </row>
    <row r="167" spans="80:80" x14ac:dyDescent="0.25">
      <c r="CB167" t="s">
        <v>233</v>
      </c>
    </row>
    <row r="168" spans="80:80" x14ac:dyDescent="0.25">
      <c r="CB168" t="s">
        <v>234</v>
      </c>
    </row>
    <row r="169" spans="80:80" x14ac:dyDescent="0.25">
      <c r="CB169" t="s">
        <v>235</v>
      </c>
    </row>
    <row r="170" spans="80:80" x14ac:dyDescent="0.25">
      <c r="CB170" t="s">
        <v>236</v>
      </c>
    </row>
  </sheetData>
  <dataValidations count="5">
    <dataValidation type="list" allowBlank="1" showInputMessage="1" showErrorMessage="1" sqref="E2:E13" xr:uid="{3818A4D5-EF0A-4866-A901-B4D21C1660B3}">
      <formula1>SOLUCIONES</formula1>
    </dataValidation>
    <dataValidation type="list" allowBlank="1" showInputMessage="1" showErrorMessage="1" sqref="A2:A13" xr:uid="{D18B457B-7C74-42AD-AE58-CAC585105EF4}">
      <formula1>PLAN</formula1>
    </dataValidation>
    <dataValidation type="list" allowBlank="1" showInputMessage="1" showErrorMessage="1" sqref="B2:B13" xr:uid="{D322F498-6299-4003-988A-8147AC3FC0AB}">
      <formula1>VIA</formula1>
    </dataValidation>
    <dataValidation type="list" allowBlank="1" showInputMessage="1" showErrorMessage="1" sqref="D2:D13" xr:uid="{68CE77DC-4725-4191-9368-5BA4F0A0536E}">
      <formula1>GOTEO</formula1>
    </dataValidation>
    <dataValidation type="list" allowBlank="1" showInputMessage="1" showErrorMessage="1" sqref="G2:G13" xr:uid="{83D3B62A-3E0A-499D-899A-18D980FC1647}">
      <formula1>AMPOLLAS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gresar">
                <anchor moveWithCells="1" sizeWithCells="1">
                  <from>
                    <xdr:col>2</xdr:col>
                    <xdr:colOff>1638300</xdr:colOff>
                    <xdr:row>15</xdr:row>
                    <xdr:rowOff>0</xdr:rowOff>
                  </from>
                  <to>
                    <xdr:col>3</xdr:col>
                    <xdr:colOff>1152525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AEDC1-30E0-4ABF-BDD7-DBDFDBA1684F}">
  <sheetPr codeName="Hoja9"/>
  <dimension ref="A1:B1"/>
  <sheetViews>
    <sheetView workbookViewId="0">
      <selection activeCell="B1" sqref="B1"/>
    </sheetView>
  </sheetViews>
  <sheetFormatPr baseColWidth="10" defaultColWidth="11.42578125" defaultRowHeight="15" x14ac:dyDescent="0.25"/>
  <cols>
    <col min="2" max="2" width="148.5703125" customWidth="1"/>
  </cols>
  <sheetData>
    <row r="1" spans="1:2" x14ac:dyDescent="0.25">
      <c r="A1" t="s">
        <v>237</v>
      </c>
      <c r="B1" s="79" t="s">
        <v>238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A6029-110A-4E92-B7AC-42994D64933C}">
  <sheetPr codeName="Hoja10"/>
  <dimension ref="B1:B18"/>
  <sheetViews>
    <sheetView workbookViewId="0">
      <selection activeCell="B18" sqref="B18"/>
    </sheetView>
  </sheetViews>
  <sheetFormatPr baseColWidth="10" defaultColWidth="11.42578125" defaultRowHeight="15" x14ac:dyDescent="0.25"/>
  <cols>
    <col min="2" max="2" width="45.85546875" bestFit="1" customWidth="1"/>
  </cols>
  <sheetData>
    <row r="1" spans="2:2" x14ac:dyDescent="0.25">
      <c r="B1" t="s">
        <v>239</v>
      </c>
    </row>
    <row r="2" spans="2:2" x14ac:dyDescent="0.25">
      <c r="B2" t="s">
        <v>240</v>
      </c>
    </row>
    <row r="3" spans="2:2" x14ac:dyDescent="0.25">
      <c r="B3" t="s">
        <v>241</v>
      </c>
    </row>
    <row r="4" spans="2:2" x14ac:dyDescent="0.25">
      <c r="B4" t="s">
        <v>242</v>
      </c>
    </row>
    <row r="5" spans="2:2" x14ac:dyDescent="0.25">
      <c r="B5" t="s">
        <v>243</v>
      </c>
    </row>
    <row r="6" spans="2:2" x14ac:dyDescent="0.25">
      <c r="B6" t="s">
        <v>244</v>
      </c>
    </row>
    <row r="7" spans="2:2" x14ac:dyDescent="0.25">
      <c r="B7" t="s">
        <v>245</v>
      </c>
    </row>
    <row r="8" spans="2:2" x14ac:dyDescent="0.25">
      <c r="B8" t="s">
        <v>246</v>
      </c>
    </row>
    <row r="9" spans="2:2" x14ac:dyDescent="0.25">
      <c r="B9" t="s">
        <v>247</v>
      </c>
    </row>
    <row r="10" spans="2:2" x14ac:dyDescent="0.25">
      <c r="B10" t="s">
        <v>248</v>
      </c>
    </row>
    <row r="11" spans="2:2" x14ac:dyDescent="0.25">
      <c r="B11" t="s">
        <v>249</v>
      </c>
    </row>
    <row r="12" spans="2:2" x14ac:dyDescent="0.25">
      <c r="B12" t="s">
        <v>250</v>
      </c>
    </row>
    <row r="13" spans="2:2" x14ac:dyDescent="0.25">
      <c r="B13" t="s">
        <v>251</v>
      </c>
    </row>
    <row r="14" spans="2:2" x14ac:dyDescent="0.25">
      <c r="B14" t="s">
        <v>252</v>
      </c>
    </row>
    <row r="15" spans="2:2" x14ac:dyDescent="0.25">
      <c r="B15" t="s">
        <v>253</v>
      </c>
    </row>
    <row r="16" spans="2:2" x14ac:dyDescent="0.25">
      <c r="B16" t="s">
        <v>254</v>
      </c>
    </row>
    <row r="17" spans="2:2" x14ac:dyDescent="0.25">
      <c r="B17" t="s">
        <v>255</v>
      </c>
    </row>
    <row r="18" spans="2:2" x14ac:dyDescent="0.25">
      <c r="B18" t="s">
        <v>256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39646-4520-436D-9052-B09B2CA191AF}">
  <sheetPr codeName="Hoja3"/>
  <dimension ref="A1:P165"/>
  <sheetViews>
    <sheetView workbookViewId="0">
      <pane ySplit="6" topLeftCell="A7" activePane="bottomLeft" state="frozenSplit"/>
      <selection pane="bottomLeft" activeCell="G19" sqref="G19:G22"/>
    </sheetView>
  </sheetViews>
  <sheetFormatPr baseColWidth="10" defaultColWidth="11.42578125" defaultRowHeight="15" x14ac:dyDescent="0.25"/>
  <cols>
    <col min="1" max="1" width="15.7109375" bestFit="1" customWidth="1"/>
    <col min="2" max="2" width="14.5703125" bestFit="1" customWidth="1"/>
    <col min="3" max="3" width="13.28515625" bestFit="1" customWidth="1"/>
    <col min="4" max="4" width="17.42578125" bestFit="1" customWidth="1"/>
    <col min="5" max="5" width="78.85546875" bestFit="1" customWidth="1"/>
    <col min="6" max="6" width="12.5703125" customWidth="1"/>
    <col min="7" max="7" width="76.7109375" bestFit="1" customWidth="1"/>
    <col min="8" max="8" width="20.140625" customWidth="1"/>
    <col min="9" max="9" width="13.7109375" customWidth="1"/>
    <col min="10" max="10" width="8.7109375" bestFit="1" customWidth="1"/>
    <col min="11" max="11" width="38" bestFit="1" customWidth="1"/>
    <col min="12" max="12" width="46.7109375" bestFit="1" customWidth="1"/>
    <col min="14" max="14" width="15.7109375" bestFit="1" customWidth="1"/>
    <col min="15" max="15" width="51.140625" bestFit="1" customWidth="1"/>
    <col min="16" max="16" width="59" bestFit="1" customWidth="1"/>
  </cols>
  <sheetData>
    <row r="1" spans="1:16" x14ac:dyDescent="0.25">
      <c r="A1" s="6" t="s">
        <v>65</v>
      </c>
      <c r="B1" s="6" t="s">
        <v>12</v>
      </c>
      <c r="C1" s="6" t="s">
        <v>66</v>
      </c>
      <c r="D1" s="6" t="s">
        <v>67</v>
      </c>
      <c r="E1" s="6" t="s">
        <v>68</v>
      </c>
      <c r="F1" s="6" t="s">
        <v>257</v>
      </c>
      <c r="J1" s="1" t="s">
        <v>258</v>
      </c>
      <c r="K1" s="1" t="s">
        <v>259</v>
      </c>
      <c r="N1" s="3">
        <v>1238604</v>
      </c>
      <c r="O1" s="3" t="s">
        <v>260</v>
      </c>
      <c r="P1" t="str">
        <f>_xlfn.CONCAT(N1," - ",O1)</f>
        <v>1238604 - ACICLOVIR 500 MG FCO-AMP</v>
      </c>
    </row>
    <row r="2" spans="1:16" ht="15.75" x14ac:dyDescent="0.25">
      <c r="A2" t="s">
        <v>261</v>
      </c>
      <c r="B2" t="s">
        <v>262</v>
      </c>
      <c r="D2" t="s">
        <v>263</v>
      </c>
      <c r="E2" s="81" t="s">
        <v>264</v>
      </c>
      <c r="F2" s="86" t="s">
        <v>265</v>
      </c>
      <c r="G2" t="str">
        <f>_xlfn.CONCAT(F2," - ",E2)</f>
        <v xml:space="preserve"> 2734901 - AGUA SOLUCION P/INYECCION X 500 ML. 556 A SACHET      </v>
      </c>
      <c r="J2" s="3">
        <v>1785901</v>
      </c>
      <c r="K2" s="24" t="s">
        <v>266</v>
      </c>
      <c r="L2" t="str">
        <f>_xlfn.CONCAT(J2," - ",K2)</f>
        <v>1785901 - SOLUCION BICARBONATO 1 MOLAR</v>
      </c>
      <c r="N2" s="3">
        <v>230503</v>
      </c>
      <c r="O2" s="3" t="s">
        <v>267</v>
      </c>
      <c r="P2" t="str">
        <f>_xlfn.CONCAT(N2," - ",O2)</f>
        <v>230503 - ACIDO AMINOCAPROICO 2 G X 10 ML AMP</v>
      </c>
    </row>
    <row r="3" spans="1:16" ht="15.75" x14ac:dyDescent="0.25">
      <c r="A3" t="s">
        <v>268</v>
      </c>
      <c r="B3" t="s">
        <v>269</v>
      </c>
      <c r="D3" t="s">
        <v>270</v>
      </c>
      <c r="E3" s="81" t="s">
        <v>271</v>
      </c>
      <c r="F3">
        <v>40621</v>
      </c>
      <c r="G3" t="str">
        <f t="shared" ref="G3:G22" si="0">_xlfn.CONCAT(F3," - ",E3)</f>
        <v>40621 - AGUA DESTILADA SOLUCION PARENTERAL SACHET 3000 ML</v>
      </c>
      <c r="J3" s="3">
        <v>2618309</v>
      </c>
      <c r="K3" s="24" t="s">
        <v>272</v>
      </c>
      <c r="L3" t="str">
        <f t="shared" ref="L3:L16" si="1">_xlfn.CONCAT(J3," - ",K3)</f>
        <v>2618309 - SOLUCION FISIOLOGICA X 500 ML</v>
      </c>
      <c r="N3" s="3">
        <v>2062105</v>
      </c>
      <c r="O3" s="3" t="s">
        <v>273</v>
      </c>
      <c r="P3" t="str">
        <f t="shared" ref="P3:P66" si="2">_xlfn.CONCAT(N3," - ",O3)</f>
        <v>2062105 - ACIDO TRANEXAMICO 500 MG X 5 ML AMP</v>
      </c>
    </row>
    <row r="4" spans="1:16" ht="15.75" x14ac:dyDescent="0.25">
      <c r="A4" t="s">
        <v>274</v>
      </c>
      <c r="B4" t="s">
        <v>275</v>
      </c>
      <c r="D4" t="s">
        <v>276</v>
      </c>
      <c r="E4" s="81" t="s">
        <v>277</v>
      </c>
      <c r="F4">
        <v>406425</v>
      </c>
      <c r="G4" t="str">
        <f t="shared" si="0"/>
        <v>406425 - SOLUCION DE DEXTROSA 25 % 500 ML SACHET</v>
      </c>
      <c r="J4" s="3">
        <v>2767501</v>
      </c>
      <c r="K4" s="24" t="s">
        <v>278</v>
      </c>
      <c r="L4" t="str">
        <f t="shared" si="1"/>
        <v>2767501 - SOLUCION DEXT 10 % X 500 ML</v>
      </c>
      <c r="N4" s="3">
        <v>1055001</v>
      </c>
      <c r="O4" s="3" t="s">
        <v>279</v>
      </c>
      <c r="P4" t="str">
        <f t="shared" si="2"/>
        <v>1055001 - ADENOSINA 3 MG/ML X 2 ML AMPOLLA</v>
      </c>
    </row>
    <row r="5" spans="1:16" ht="15.75" x14ac:dyDescent="0.25">
      <c r="B5" t="s">
        <v>280</v>
      </c>
      <c r="D5" t="s">
        <v>281</v>
      </c>
      <c r="E5" s="81" t="s">
        <v>282</v>
      </c>
      <c r="F5">
        <v>406426</v>
      </c>
      <c r="G5" t="str">
        <f t="shared" si="0"/>
        <v>406426 - SOLUCION DE DEXTROSA 50 % 500 ML SACHET</v>
      </c>
      <c r="J5" s="3">
        <v>2618320</v>
      </c>
      <c r="K5" s="24" t="s">
        <v>283</v>
      </c>
      <c r="L5" t="str">
        <f t="shared" si="1"/>
        <v>2618320 - SOLUCION FISIO X 250 ML</v>
      </c>
      <c r="N5" s="3">
        <v>552701</v>
      </c>
      <c r="O5" s="3" t="s">
        <v>284</v>
      </c>
      <c r="P5" t="str">
        <f t="shared" si="2"/>
        <v>552701 - ADRENALINA 1 MG/ML AMP</v>
      </c>
    </row>
    <row r="6" spans="1:16" ht="15.75" x14ac:dyDescent="0.25">
      <c r="E6" s="81" t="s">
        <v>285</v>
      </c>
      <c r="F6">
        <v>406427</v>
      </c>
      <c r="G6" t="str">
        <f t="shared" si="0"/>
        <v>406427 - SOLUCION DE MANITOL 15% SACHET 500 ML</v>
      </c>
      <c r="J6" s="3">
        <v>2752702</v>
      </c>
      <c r="K6" s="24" t="s">
        <v>286</v>
      </c>
      <c r="L6" t="str">
        <f t="shared" si="1"/>
        <v>2752702 - SOLUCION FISIOLOGICA X 1000 ML</v>
      </c>
      <c r="N6" s="3">
        <v>2558901</v>
      </c>
      <c r="O6" s="3" t="s">
        <v>287</v>
      </c>
      <c r="P6" t="str">
        <f t="shared" si="2"/>
        <v>2558901 - ALBUMINA HUMANA AL 20% X 50 ML FCO-AMP</v>
      </c>
    </row>
    <row r="7" spans="1:16" ht="15.75" x14ac:dyDescent="0.25">
      <c r="E7" s="81" t="s">
        <v>288</v>
      </c>
      <c r="F7">
        <v>405713</v>
      </c>
      <c r="G7" t="str">
        <f t="shared" si="0"/>
        <v>405713 - SOLUCION GLUCOSADO HIPERTONICA 25% AMPOLLA</v>
      </c>
      <c r="J7" s="10">
        <v>403903</v>
      </c>
      <c r="K7" s="80" t="s">
        <v>289</v>
      </c>
      <c r="L7" t="str">
        <f t="shared" si="1"/>
        <v>403903 - SOLUCION FISIOLOGICA X 5 ML AMP</v>
      </c>
      <c r="N7" s="3">
        <v>2046301</v>
      </c>
      <c r="O7" s="3" t="s">
        <v>290</v>
      </c>
      <c r="P7" t="str">
        <f t="shared" si="2"/>
        <v>2046301 - ALPROSTADIL 500 MCG/ML  AMP</v>
      </c>
    </row>
    <row r="8" spans="1:16" ht="15.75" x14ac:dyDescent="0.25">
      <c r="E8" s="81" t="s">
        <v>291</v>
      </c>
      <c r="F8">
        <v>1785901</v>
      </c>
      <c r="G8" t="str">
        <f t="shared" si="0"/>
        <v>1785901 - SOLUCION MOLAR DE BICARBONATO DE SODIO INYECTABLE</v>
      </c>
      <c r="J8" s="3">
        <v>406420</v>
      </c>
      <c r="K8" s="24" t="s">
        <v>292</v>
      </c>
      <c r="L8" t="str">
        <f t="shared" si="1"/>
        <v>406420 -  SOLUCION Cloruro de Sodio x 2000ml</v>
      </c>
      <c r="N8" s="3">
        <v>4402</v>
      </c>
      <c r="O8" s="3" t="s">
        <v>293</v>
      </c>
      <c r="P8" t="str">
        <f t="shared" si="2"/>
        <v>4402 - ALTEPASA 50 MG FCO-AMP</v>
      </c>
    </row>
    <row r="9" spans="1:16" ht="15.75" x14ac:dyDescent="0.25">
      <c r="E9" s="81" t="s">
        <v>294</v>
      </c>
      <c r="F9">
        <v>1175104</v>
      </c>
      <c r="G9" t="str">
        <f t="shared" si="0"/>
        <v xml:space="preserve">1175104 - SOLUCION PARENT. FIDEX 100 ML MOLAR CLOR. POT. SACHET </v>
      </c>
      <c r="J9" s="3">
        <v>406427</v>
      </c>
      <c r="K9" s="24" t="s">
        <v>295</v>
      </c>
      <c r="L9" t="str">
        <f t="shared" si="1"/>
        <v>406427 - SOLUCION DE MANITOL</v>
      </c>
      <c r="N9" s="3">
        <v>882001</v>
      </c>
      <c r="O9" s="3" t="s">
        <v>296</v>
      </c>
      <c r="P9" t="str">
        <f t="shared" si="2"/>
        <v>882001 - AMIKACINA 500 MG AMP</v>
      </c>
    </row>
    <row r="10" spans="1:16" ht="15.75" x14ac:dyDescent="0.25">
      <c r="E10" s="81" t="s">
        <v>297</v>
      </c>
      <c r="F10">
        <v>2539101</v>
      </c>
      <c r="G10" t="str">
        <f t="shared" si="0"/>
        <v xml:space="preserve">2539101 - SOLUCION PARENT. FLEX. CLOR DE SODIO 0.9 % X 100 ML-BAXTER SACHET    </v>
      </c>
      <c r="J10" s="3">
        <v>2858207</v>
      </c>
      <c r="K10" s="24" t="s">
        <v>298</v>
      </c>
      <c r="L10" t="str">
        <f t="shared" si="1"/>
        <v>2858207 - SOLUCION DEXTROSA AL 5 EN AGUA X250</v>
      </c>
      <c r="N10" s="3">
        <v>167404</v>
      </c>
      <c r="O10" s="3" t="s">
        <v>299</v>
      </c>
      <c r="P10" t="str">
        <f t="shared" si="2"/>
        <v>167404 - AMINOFILINA 240 MG X 10 ML AMP</v>
      </c>
    </row>
    <row r="11" spans="1:16" ht="15.75" x14ac:dyDescent="0.25">
      <c r="E11" s="81" t="s">
        <v>300</v>
      </c>
      <c r="F11">
        <v>2618320</v>
      </c>
      <c r="G11" t="str">
        <f t="shared" si="0"/>
        <v xml:space="preserve">2618320 - SOLUCION PARENT. FLEX. CLOR DE SODIO 0.9 % X 250 ML- BAXTER SACHET </v>
      </c>
      <c r="J11" s="3">
        <v>2858209</v>
      </c>
      <c r="K11" s="24" t="s">
        <v>301</v>
      </c>
      <c r="L11" t="str">
        <f t="shared" si="1"/>
        <v>2858209 - SOLUCION DEXTROSA AL 5 EN AGUA X 500</v>
      </c>
      <c r="N11" s="3">
        <v>552302</v>
      </c>
      <c r="O11" s="3" t="s">
        <v>302</v>
      </c>
      <c r="P11" t="str">
        <f t="shared" si="2"/>
        <v>552302 - AMIODARONA 150 MG X 3 ML AMP</v>
      </c>
    </row>
    <row r="12" spans="1:16" ht="15.75" x14ac:dyDescent="0.25">
      <c r="E12" s="81" t="s">
        <v>303</v>
      </c>
      <c r="F12">
        <v>2618309</v>
      </c>
      <c r="G12" t="str">
        <f t="shared" si="0"/>
        <v xml:space="preserve">2618309 - SOLUCION PARENT. FLEX. CLOR DE SODIO 0.9% X 500 ML-BAXTER SACHET </v>
      </c>
      <c r="J12" s="3">
        <v>406425</v>
      </c>
      <c r="K12" s="24" t="s">
        <v>304</v>
      </c>
      <c r="L12" t="str">
        <f t="shared" si="1"/>
        <v>406425 - SOLUCION DEX AL 25 %</v>
      </c>
      <c r="N12" s="3">
        <v>1325001</v>
      </c>
      <c r="O12" s="3" t="s">
        <v>305</v>
      </c>
      <c r="P12" t="str">
        <f t="shared" si="2"/>
        <v>1325001 - AMPICILINA  1000 MG FCO-AMP</v>
      </c>
    </row>
    <row r="13" spans="1:16" ht="15.75" x14ac:dyDescent="0.25">
      <c r="E13" s="82" t="s">
        <v>306</v>
      </c>
      <c r="G13" t="str">
        <f t="shared" si="0"/>
        <v xml:space="preserve"> - SOLUCION PARENT. FLEX. DEXT. 5% EN SOL FISIOL. X 500 ML- BAXTER SACHET </v>
      </c>
      <c r="J13" s="3">
        <v>406426</v>
      </c>
      <c r="K13" s="24" t="s">
        <v>307</v>
      </c>
      <c r="L13" t="str">
        <f t="shared" si="1"/>
        <v>406426 - SOLUCION DEX AL 50%</v>
      </c>
      <c r="N13" s="3">
        <v>910502</v>
      </c>
      <c r="O13" s="3" t="s">
        <v>308</v>
      </c>
      <c r="P13" t="str">
        <f t="shared" si="2"/>
        <v>910502 - AMPICILINA + SULBACTAM 1.5 G FCO-AMP</v>
      </c>
    </row>
    <row r="14" spans="1:16" ht="15.75" x14ac:dyDescent="0.25">
      <c r="E14" s="82" t="s">
        <v>309</v>
      </c>
      <c r="F14">
        <v>2858205</v>
      </c>
      <c r="G14" t="str">
        <f t="shared" si="0"/>
        <v xml:space="preserve">2858205 - SOLUCION PARENT. FLEX. DEXT. EN AGUA AL 5 % X 100 ML- BAXTER SACHET </v>
      </c>
      <c r="J14" s="3">
        <v>2858205</v>
      </c>
      <c r="K14" s="24" t="s">
        <v>310</v>
      </c>
      <c r="L14" t="str">
        <f t="shared" si="1"/>
        <v>2858205 - SOLUCION DEX X 100 ML</v>
      </c>
      <c r="N14" s="3">
        <v>445308</v>
      </c>
      <c r="O14" s="3" t="s">
        <v>311</v>
      </c>
      <c r="P14" t="str">
        <f t="shared" si="2"/>
        <v>445308 - AMPICILINA 500 MG COMP</v>
      </c>
    </row>
    <row r="15" spans="1:16" ht="15.75" x14ac:dyDescent="0.25">
      <c r="E15" s="82" t="s">
        <v>312</v>
      </c>
      <c r="F15">
        <v>2858207</v>
      </c>
      <c r="G15" t="str">
        <f t="shared" si="0"/>
        <v xml:space="preserve">2858207 - SOLUCION PARENT. FLEX. DEXT. EN AGUA AL 5% X 250 ML-BAXTER SACHET </v>
      </c>
      <c r="J15" s="3">
        <v>2618319</v>
      </c>
      <c r="K15" s="24" t="s">
        <v>313</v>
      </c>
      <c r="L15" t="str">
        <f t="shared" si="1"/>
        <v>2618319 - SOLUCION DEXT X 500 ML</v>
      </c>
      <c r="N15" s="3">
        <v>1115401</v>
      </c>
      <c r="O15" s="3" t="s">
        <v>314</v>
      </c>
      <c r="P15" t="str">
        <f t="shared" si="2"/>
        <v>1115401 - ANFOTERICINA B 50 MG FCO-AMP</v>
      </c>
    </row>
    <row r="16" spans="1:16" ht="15.75" x14ac:dyDescent="0.25">
      <c r="E16" s="82" t="s">
        <v>315</v>
      </c>
      <c r="F16">
        <v>2618319</v>
      </c>
      <c r="G16" t="str">
        <f t="shared" si="0"/>
        <v xml:space="preserve">2618319 - SOLUCION PARENT. FLEX. DEXT. EN AGUA AL 5% X 500 ML-BAXTER SACHET </v>
      </c>
      <c r="J16" s="3">
        <v>2618320</v>
      </c>
      <c r="K16" s="24" t="s">
        <v>316</v>
      </c>
      <c r="L16" t="str">
        <f t="shared" si="1"/>
        <v>2618320 - SOLUCION RINGER X 500 ML</v>
      </c>
      <c r="N16" s="3">
        <v>617901</v>
      </c>
      <c r="O16" s="3" t="s">
        <v>317</v>
      </c>
      <c r="P16" t="str">
        <f t="shared" si="2"/>
        <v>617901 - ANFOTERICINA B LIPOSOMAL 50 MG FCO-AMP</v>
      </c>
    </row>
    <row r="17" spans="5:16" ht="15.75" x14ac:dyDescent="0.25">
      <c r="E17" s="83" t="s">
        <v>318</v>
      </c>
      <c r="F17">
        <v>2767501</v>
      </c>
      <c r="G17" t="str">
        <f t="shared" si="0"/>
        <v xml:space="preserve">2767501 - SOLUCION PARENT. FLEX. DEXT.EN AGUA AL 10% X 500 ML-BAXTER SACHET </v>
      </c>
      <c r="N17" s="3">
        <v>1992101</v>
      </c>
      <c r="O17" s="3" t="s">
        <v>319</v>
      </c>
      <c r="P17" t="str">
        <f t="shared" si="2"/>
        <v>1992101 - ANIDULAFUNGINA 100 MG AMP</v>
      </c>
    </row>
    <row r="18" spans="5:16" ht="15.75" x14ac:dyDescent="0.25">
      <c r="E18" s="81" t="s">
        <v>320</v>
      </c>
      <c r="F18">
        <v>2752702</v>
      </c>
      <c r="G18" t="str">
        <f t="shared" si="0"/>
        <v xml:space="preserve">2752702 - SOLUCION PARENT. FLEX.CLOR DE SODIO 0.9% X 1000 ML-BAXTER SACHET  </v>
      </c>
      <c r="N18" s="3">
        <v>897701</v>
      </c>
      <c r="O18" s="3" t="s">
        <v>321</v>
      </c>
      <c r="P18" t="str">
        <f t="shared" si="2"/>
        <v>897701 - ATRACURIO 50 MG AMP</v>
      </c>
    </row>
    <row r="19" spans="5:16" ht="15.75" x14ac:dyDescent="0.25">
      <c r="E19" s="81" t="s">
        <v>322</v>
      </c>
      <c r="F19">
        <v>2618320</v>
      </c>
      <c r="G19" t="str">
        <f t="shared" si="0"/>
        <v>2618320 - SOLUCION PARENTERAL RINGER LACTATO SOLUCION</v>
      </c>
      <c r="N19" s="3">
        <v>42101</v>
      </c>
      <c r="O19" s="3" t="s">
        <v>323</v>
      </c>
      <c r="P19" t="str">
        <f t="shared" si="2"/>
        <v>42101 - ATROPINA 1/1000 AMP</v>
      </c>
    </row>
    <row r="20" spans="5:16" x14ac:dyDescent="0.25">
      <c r="E20" t="s">
        <v>324</v>
      </c>
      <c r="F20">
        <v>2858207</v>
      </c>
      <c r="G20" t="str">
        <f t="shared" si="0"/>
        <v>2858207 - SOLUCION DEXTROSA AL 5% EN AGUA 250 ML</v>
      </c>
      <c r="N20" s="3">
        <v>1254601</v>
      </c>
      <c r="O20" s="3" t="s">
        <v>325</v>
      </c>
      <c r="P20" t="str">
        <f t="shared" si="2"/>
        <v>1254601 - AZTREONAM 1 G FRASCO AMPOLLA X 1 HSJD</v>
      </c>
    </row>
    <row r="21" spans="5:16" x14ac:dyDescent="0.25">
      <c r="E21" t="s">
        <v>326</v>
      </c>
      <c r="G21" t="str">
        <f t="shared" si="0"/>
        <v xml:space="preserve"> - SOLUCION DEXTROSA AL 5% EN FISIO 500 ML</v>
      </c>
      <c r="N21" s="3">
        <v>1008502</v>
      </c>
      <c r="O21" s="3" t="s">
        <v>327</v>
      </c>
      <c r="P21" t="str">
        <f t="shared" si="2"/>
        <v>1008502 - BETAMETASONA ACETATO + FOSFATO FCO-AMP</v>
      </c>
    </row>
    <row r="22" spans="5:16" x14ac:dyDescent="0.25">
      <c r="E22" t="s">
        <v>328</v>
      </c>
      <c r="F22">
        <v>406420</v>
      </c>
      <c r="G22" t="str">
        <f t="shared" si="0"/>
        <v>406420 - SOLUCION CLORURO DE SODIO X 2000 ML</v>
      </c>
      <c r="N22" s="3">
        <v>809602</v>
      </c>
      <c r="O22" s="3" t="s">
        <v>329</v>
      </c>
      <c r="P22" t="str">
        <f t="shared" si="2"/>
        <v>809602 - BUPIVACAINA 0.5 % X 20 ML FCO-AMP</v>
      </c>
    </row>
    <row r="23" spans="5:16" x14ac:dyDescent="0.25">
      <c r="N23" s="3">
        <v>1171502</v>
      </c>
      <c r="O23" s="3" t="s">
        <v>330</v>
      </c>
      <c r="P23" t="str">
        <f t="shared" si="2"/>
        <v>1171502 - BUPIVACAINA 0.50% HIPERBARICA x 4 ML AMP</v>
      </c>
    </row>
    <row r="24" spans="5:16" x14ac:dyDescent="0.25">
      <c r="N24" s="3">
        <v>552601</v>
      </c>
      <c r="O24" s="3" t="s">
        <v>331</v>
      </c>
      <c r="P24" t="str">
        <f t="shared" si="2"/>
        <v>552601 - CAFEINA 250 MG /ML AMP</v>
      </c>
    </row>
    <row r="25" spans="5:16" x14ac:dyDescent="0.25">
      <c r="N25" s="3">
        <v>1286801</v>
      </c>
      <c r="O25" s="3" t="s">
        <v>332</v>
      </c>
      <c r="P25" t="str">
        <f t="shared" si="2"/>
        <v>1286801 - CARBETOCIN 100 MCG AMPOLLA</v>
      </c>
    </row>
    <row r="26" spans="5:16" x14ac:dyDescent="0.25">
      <c r="N26" s="3">
        <v>746903</v>
      </c>
      <c r="O26" s="3" t="s">
        <v>333</v>
      </c>
      <c r="P26" t="str">
        <f t="shared" si="2"/>
        <v>746903 - CEFAZOLINA 1 GR FCO.AMP.</v>
      </c>
    </row>
    <row r="27" spans="5:16" x14ac:dyDescent="0.25">
      <c r="N27" s="3">
        <v>1397203</v>
      </c>
      <c r="O27" s="3" t="s">
        <v>334</v>
      </c>
      <c r="P27" t="str">
        <f t="shared" si="2"/>
        <v>1397203 - CEFEPIME 1 G FCO-AMP</v>
      </c>
    </row>
    <row r="28" spans="5:16" x14ac:dyDescent="0.25">
      <c r="N28" s="3">
        <v>695205</v>
      </c>
      <c r="O28" s="3" t="s">
        <v>335</v>
      </c>
      <c r="P28" t="str">
        <f t="shared" si="2"/>
        <v>695205 - CEFTAZIDIMA 1000 MG FCO-AMP</v>
      </c>
    </row>
    <row r="29" spans="5:16" x14ac:dyDescent="0.25">
      <c r="N29" s="3">
        <v>695305</v>
      </c>
      <c r="O29" s="3" t="s">
        <v>336</v>
      </c>
      <c r="P29" t="str">
        <f t="shared" si="2"/>
        <v>695305 - CEFTRIAXONA 1 G FCO-AMP</v>
      </c>
    </row>
    <row r="30" spans="5:16" x14ac:dyDescent="0.25">
      <c r="N30" s="3">
        <v>503901</v>
      </c>
      <c r="O30" s="3" t="s">
        <v>337</v>
      </c>
      <c r="P30" t="str">
        <f t="shared" si="2"/>
        <v>503901 - CIPROFLOXACINA 200 MG /100 ML AMP</v>
      </c>
    </row>
    <row r="31" spans="5:16" x14ac:dyDescent="0.25">
      <c r="N31" s="3">
        <v>1104505</v>
      </c>
      <c r="O31" s="3" t="s">
        <v>338</v>
      </c>
      <c r="P31" t="str">
        <f t="shared" si="2"/>
        <v>1104505 - CLARITROMICINA 500 MG FCO-AMP</v>
      </c>
    </row>
    <row r="32" spans="5:16" x14ac:dyDescent="0.25">
      <c r="N32" s="3">
        <v>2056101</v>
      </c>
      <c r="O32" s="3" t="s">
        <v>339</v>
      </c>
      <c r="P32" t="str">
        <f t="shared" si="2"/>
        <v>2056101 - CLINDAMICINA 600 MG AMP</v>
      </c>
    </row>
    <row r="33" spans="14:16" x14ac:dyDescent="0.25">
      <c r="N33" s="3">
        <v>1391001</v>
      </c>
      <c r="O33" s="3" t="s">
        <v>340</v>
      </c>
      <c r="P33" t="str">
        <f t="shared" si="2"/>
        <v>1391001 - CLONIDINA 0.150 MG/ML AMPOLLA</v>
      </c>
    </row>
    <row r="34" spans="14:16" x14ac:dyDescent="0.25">
      <c r="N34" s="3">
        <v>991603</v>
      </c>
      <c r="O34" s="3" t="s">
        <v>341</v>
      </c>
      <c r="P34" t="str">
        <f t="shared" si="2"/>
        <v>991603 - CLONIXINATO DE LISINA 200 MG/4ML AMPOLLA</v>
      </c>
    </row>
    <row r="35" spans="14:16" x14ac:dyDescent="0.25">
      <c r="N35" s="3">
        <v>574102</v>
      </c>
      <c r="O35" s="3" t="s">
        <v>342</v>
      </c>
      <c r="P35" t="str">
        <f t="shared" si="2"/>
        <v>574102 - CLORANFENICOL 1 G FCO-AMP</v>
      </c>
    </row>
    <row r="36" spans="14:16" x14ac:dyDescent="0.25">
      <c r="N36" s="3">
        <v>789003</v>
      </c>
      <c r="O36" s="3" t="s">
        <v>343</v>
      </c>
      <c r="P36" t="str">
        <f t="shared" si="2"/>
        <v>789003 - CLORPROMAZINA 25 MG AMP IM</v>
      </c>
    </row>
    <row r="37" spans="14:16" x14ac:dyDescent="0.25">
      <c r="N37" s="3">
        <v>789004</v>
      </c>
      <c r="O37" s="3" t="s">
        <v>344</v>
      </c>
      <c r="P37" t="str">
        <f t="shared" si="2"/>
        <v>789004 - CLORPROMAZINA 50 MG  AMP EV</v>
      </c>
    </row>
    <row r="38" spans="14:16" x14ac:dyDescent="0.25">
      <c r="N38" s="3">
        <v>96303</v>
      </c>
      <c r="O38" s="3" t="s">
        <v>345</v>
      </c>
      <c r="P38" t="str">
        <f t="shared" si="2"/>
        <v>96303 - CLORURO DE CALCIO 10% X 10 ML AMP</v>
      </c>
    </row>
    <row r="39" spans="14:16" x14ac:dyDescent="0.25">
      <c r="N39" s="3">
        <v>96507</v>
      </c>
      <c r="O39" s="3" t="s">
        <v>346</v>
      </c>
      <c r="P39" t="str">
        <f t="shared" si="2"/>
        <v>96507 - CLORURO DE POTASIO 15 mEq/5ML AMP</v>
      </c>
    </row>
    <row r="40" spans="14:16" x14ac:dyDescent="0.25">
      <c r="N40" s="3">
        <v>1824201</v>
      </c>
      <c r="O40" s="3" t="s">
        <v>347</v>
      </c>
      <c r="P40" t="str">
        <f t="shared" si="2"/>
        <v>1824201 - COLISTINA 100 MG FCO-AMP</v>
      </c>
    </row>
    <row r="41" spans="14:16" x14ac:dyDescent="0.25">
      <c r="N41" s="3">
        <v>47302</v>
      </c>
      <c r="O41" s="3" t="s">
        <v>348</v>
      </c>
      <c r="P41" t="str">
        <f t="shared" si="2"/>
        <v>47302 - COMPLEJO B IM AMP ( BAGO B1 B6 B12)</v>
      </c>
    </row>
    <row r="42" spans="14:16" x14ac:dyDescent="0.25">
      <c r="N42" s="3">
        <v>1187701</v>
      </c>
      <c r="O42" s="3" t="s">
        <v>349</v>
      </c>
      <c r="P42" t="str">
        <f t="shared" si="2"/>
        <v>1187701 - COMPLEJO B IV AMP (BECOZYM)</v>
      </c>
    </row>
    <row r="43" spans="14:16" x14ac:dyDescent="0.25">
      <c r="N43" s="3">
        <v>581001</v>
      </c>
      <c r="O43" s="3" t="s">
        <v>350</v>
      </c>
      <c r="P43" t="str">
        <f t="shared" si="2"/>
        <v>581001 - COMPLEJO MULTIV FCO-AMP</v>
      </c>
    </row>
    <row r="44" spans="14:16" x14ac:dyDescent="0.25">
      <c r="N44" s="3">
        <v>2785201</v>
      </c>
      <c r="O44" s="3" t="s">
        <v>351</v>
      </c>
      <c r="P44" t="str">
        <f t="shared" si="2"/>
        <v>2785201 - DAPTOMICINA 500 MG AMPOLLAS</v>
      </c>
    </row>
    <row r="45" spans="14:16" x14ac:dyDescent="0.25">
      <c r="N45" s="3">
        <v>2911101</v>
      </c>
      <c r="O45" s="3" t="s">
        <v>352</v>
      </c>
      <c r="P45" t="str">
        <f t="shared" si="2"/>
        <v>2911101 - DANTROLENE FCO-AMP</v>
      </c>
    </row>
    <row r="46" spans="14:16" x14ac:dyDescent="0.25">
      <c r="N46" s="3">
        <v>124005</v>
      </c>
      <c r="O46" s="3" t="s">
        <v>353</v>
      </c>
      <c r="P46" t="str">
        <f t="shared" si="2"/>
        <v>124005 - DESMOPRESINA 4 MCG AMP</v>
      </c>
    </row>
    <row r="47" spans="14:16" x14ac:dyDescent="0.25">
      <c r="N47" s="3">
        <v>447901</v>
      </c>
      <c r="O47" s="3" t="s">
        <v>354</v>
      </c>
      <c r="P47" t="str">
        <f t="shared" si="2"/>
        <v>447901 - DEXAMETASONA 8 MG/2ML AMP</v>
      </c>
    </row>
    <row r="48" spans="14:16" x14ac:dyDescent="0.25">
      <c r="N48" s="3">
        <v>2547501</v>
      </c>
      <c r="O48" s="3" t="s">
        <v>355</v>
      </c>
      <c r="P48" t="str">
        <f t="shared" si="2"/>
        <v>2547501 - DEXMEDETOMIDINA 100 MCG FCO-AMP</v>
      </c>
    </row>
    <row r="49" spans="14:16" x14ac:dyDescent="0.25">
      <c r="N49" s="3">
        <v>129604</v>
      </c>
      <c r="O49" s="3" t="s">
        <v>356</v>
      </c>
      <c r="P49" t="str">
        <f t="shared" si="2"/>
        <v>129604 - DIAZEPAM 10 MG AMP</v>
      </c>
    </row>
    <row r="50" spans="14:16" x14ac:dyDescent="0.25">
      <c r="N50" s="3">
        <v>1086402</v>
      </c>
      <c r="O50" s="3" t="s">
        <v>357</v>
      </c>
      <c r="P50" t="str">
        <f t="shared" si="2"/>
        <v>1086402 - DICLO + BETAM + VIT B12 AMP</v>
      </c>
    </row>
    <row r="51" spans="14:16" x14ac:dyDescent="0.25">
      <c r="N51" s="3">
        <v>1054305</v>
      </c>
      <c r="O51" s="3" t="s">
        <v>358</v>
      </c>
      <c r="P51" t="str">
        <f t="shared" si="2"/>
        <v>1054305 - DICLOFENAC + PIRIDINOL AMP</v>
      </c>
    </row>
    <row r="52" spans="14:16" x14ac:dyDescent="0.25">
      <c r="N52" s="3">
        <v>852606</v>
      </c>
      <c r="O52" s="3" t="s">
        <v>359</v>
      </c>
      <c r="P52" t="str">
        <f t="shared" si="2"/>
        <v>852606 - DICLOFENAC 75 MG  AMP</v>
      </c>
    </row>
    <row r="53" spans="14:16" x14ac:dyDescent="0.25">
      <c r="N53" s="3">
        <v>1252602</v>
      </c>
      <c r="O53" s="3" t="s">
        <v>360</v>
      </c>
      <c r="P53" t="str">
        <f t="shared" si="2"/>
        <v xml:space="preserve">1252602 - DIFENHIDRAMINA 10 MG/ML AMPOLLA  </v>
      </c>
    </row>
    <row r="54" spans="14:16" x14ac:dyDescent="0.25">
      <c r="N54" s="3">
        <v>1252602</v>
      </c>
      <c r="O54" s="3" t="s">
        <v>361</v>
      </c>
      <c r="P54" t="str">
        <f t="shared" si="2"/>
        <v>1252602 - DIFENHIDRAMINA 100 MG/10 ML FCO-AMP</v>
      </c>
    </row>
    <row r="55" spans="14:16" x14ac:dyDescent="0.25">
      <c r="N55" s="3">
        <v>1098401</v>
      </c>
      <c r="O55" s="3" t="s">
        <v>362</v>
      </c>
      <c r="P55" t="str">
        <f t="shared" si="2"/>
        <v>1098401 - DIGOXINA 0.25 MG/ML AMP</v>
      </c>
    </row>
    <row r="56" spans="14:16" x14ac:dyDescent="0.25">
      <c r="N56" s="3">
        <v>1101</v>
      </c>
      <c r="O56" s="3" t="s">
        <v>363</v>
      </c>
      <c r="P56" t="str">
        <f t="shared" si="2"/>
        <v>1101 - DILTIAZEM 25 MG FCO-AMP</v>
      </c>
    </row>
    <row r="57" spans="14:16" x14ac:dyDescent="0.25">
      <c r="N57" s="3">
        <v>135510</v>
      </c>
      <c r="O57" s="3" t="s">
        <v>364</v>
      </c>
      <c r="P57" t="str">
        <f t="shared" si="2"/>
        <v>135510 - DIPIRONA 1 G/2ML  AMPOLLA</v>
      </c>
    </row>
    <row r="58" spans="14:16" x14ac:dyDescent="0.25">
      <c r="N58" s="3">
        <v>1125402</v>
      </c>
      <c r="O58" s="3" t="s">
        <v>365</v>
      </c>
      <c r="P58" t="str">
        <f t="shared" si="2"/>
        <v>1125402 - DOBUTAMINA 250 MG FCO-AMP</v>
      </c>
    </row>
    <row r="59" spans="14:16" x14ac:dyDescent="0.25">
      <c r="N59" s="3">
        <v>270904</v>
      </c>
      <c r="O59" s="3" t="s">
        <v>366</v>
      </c>
      <c r="P59" t="str">
        <f t="shared" si="2"/>
        <v>270904 - DOPAMINA 200 MG/ML X 5 ML AMP</v>
      </c>
    </row>
    <row r="60" spans="14:16" x14ac:dyDescent="0.25">
      <c r="N60" s="3">
        <v>576201</v>
      </c>
      <c r="O60" s="3" t="s">
        <v>367</v>
      </c>
      <c r="P60" t="str">
        <f t="shared" si="2"/>
        <v>576201 - ERGONOVINA 0,2 MG AMP</v>
      </c>
    </row>
    <row r="61" spans="14:16" x14ac:dyDescent="0.25">
      <c r="N61" s="3">
        <v>208704</v>
      </c>
      <c r="O61" s="3" t="s">
        <v>368</v>
      </c>
      <c r="P61" t="str">
        <f t="shared" si="2"/>
        <v>208704 - ERITROPOYETINA 10000 UI FCO-AMP</v>
      </c>
    </row>
    <row r="62" spans="14:16" x14ac:dyDescent="0.25">
      <c r="N62" s="3">
        <v>208701</v>
      </c>
      <c r="O62" s="3" t="s">
        <v>369</v>
      </c>
      <c r="P62" t="str">
        <f t="shared" si="2"/>
        <v>208701 - ERITROPOYETINA 2000 UI FCO-AMP</v>
      </c>
    </row>
    <row r="63" spans="14:16" x14ac:dyDescent="0.25">
      <c r="N63" s="3">
        <v>1382307</v>
      </c>
      <c r="O63" s="3" t="s">
        <v>370</v>
      </c>
      <c r="P63" t="str">
        <f t="shared" si="2"/>
        <v>1382307 - ERITROPOYETINA 4000 UI FCO-AMP</v>
      </c>
    </row>
    <row r="64" spans="14:16" x14ac:dyDescent="0.25">
      <c r="N64" s="3">
        <v>1481101</v>
      </c>
      <c r="O64" s="3" t="s">
        <v>371</v>
      </c>
      <c r="P64" t="str">
        <f t="shared" si="2"/>
        <v>1481101 - ERTAPENEM 1 G FCO-AMP</v>
      </c>
    </row>
    <row r="65" spans="14:16" x14ac:dyDescent="0.25">
      <c r="N65" s="3">
        <v>2469801</v>
      </c>
      <c r="O65" s="3" t="s">
        <v>372</v>
      </c>
      <c r="P65" t="str">
        <f t="shared" si="2"/>
        <v>2469801 - ESTREPTOMICINA 1 G FCO-AMP</v>
      </c>
    </row>
    <row r="66" spans="14:16" x14ac:dyDescent="0.25">
      <c r="N66" s="3">
        <v>2269001</v>
      </c>
      <c r="O66" s="3" t="s">
        <v>373</v>
      </c>
      <c r="P66" t="str">
        <f t="shared" si="2"/>
        <v>2269001 - ESTREPTOQUINASA 1500000 UI FCO-AMP</v>
      </c>
    </row>
    <row r="67" spans="14:16" x14ac:dyDescent="0.25">
      <c r="N67" s="3">
        <v>829301</v>
      </c>
      <c r="O67" s="3" t="s">
        <v>374</v>
      </c>
      <c r="P67" t="str">
        <f t="shared" ref="P67:P130" si="3">_xlfn.CONCAT(N67," - ",O67)</f>
        <v>829301 - ETILEFRINA 10 MG AMP</v>
      </c>
    </row>
    <row r="68" spans="14:16" x14ac:dyDescent="0.25">
      <c r="N68" s="3">
        <v>2598101</v>
      </c>
      <c r="O68" s="3" t="s">
        <v>375</v>
      </c>
      <c r="P68" t="str">
        <f t="shared" si="3"/>
        <v>2598101 - ETOMIDATO 2 MG AMP</v>
      </c>
    </row>
    <row r="69" spans="14:16" x14ac:dyDescent="0.25">
      <c r="N69" s="3">
        <v>1794203</v>
      </c>
      <c r="O69" s="3" t="s">
        <v>376</v>
      </c>
      <c r="P69" t="str">
        <f t="shared" si="3"/>
        <v>1794203 - FENITOINA 100 MG AMPOLLA</v>
      </c>
    </row>
    <row r="70" spans="14:16" x14ac:dyDescent="0.25">
      <c r="N70" s="3">
        <v>1326307</v>
      </c>
      <c r="O70" s="3" t="s">
        <v>377</v>
      </c>
      <c r="P70" t="str">
        <f t="shared" si="3"/>
        <v>1326307 - FENOBARBITAL 100 MG/ 2ML AMP</v>
      </c>
    </row>
    <row r="71" spans="14:16" x14ac:dyDescent="0.25">
      <c r="N71" s="3">
        <v>1468802</v>
      </c>
      <c r="O71" s="3" t="s">
        <v>378</v>
      </c>
      <c r="P71" t="str">
        <f t="shared" si="3"/>
        <v>1468802 - FENTANILO  0,05 MG/ML AMPOLLA</v>
      </c>
    </row>
    <row r="72" spans="14:16" x14ac:dyDescent="0.25">
      <c r="N72" s="3">
        <v>2493401</v>
      </c>
      <c r="O72" s="3" t="s">
        <v>379</v>
      </c>
      <c r="P72" t="str">
        <f t="shared" si="3"/>
        <v>2493401 - FILGASTRIM 30 MUI FCO-AMP</v>
      </c>
    </row>
    <row r="73" spans="14:16" x14ac:dyDescent="0.25">
      <c r="N73" s="3">
        <v>301604</v>
      </c>
      <c r="O73" s="3" t="s">
        <v>380</v>
      </c>
      <c r="P73" t="str">
        <f t="shared" si="3"/>
        <v>301604 - FLOROGLUCINOL + TRIMETOXIBENCENO AMP</v>
      </c>
    </row>
    <row r="74" spans="14:16" x14ac:dyDescent="0.25">
      <c r="N74" s="3">
        <v>1121204</v>
      </c>
      <c r="O74" s="3" t="s">
        <v>381</v>
      </c>
      <c r="P74" t="str">
        <f t="shared" si="3"/>
        <v>1121204 - FLUMAZENIL 0,5 MG/ 5ML AMP</v>
      </c>
    </row>
    <row r="75" spans="14:16" x14ac:dyDescent="0.25">
      <c r="N75" s="3">
        <v>6310</v>
      </c>
      <c r="O75" s="3" t="s">
        <v>382</v>
      </c>
      <c r="P75" t="str">
        <f t="shared" si="3"/>
        <v>6310 - FOSFATO DE POTASIO 3 MMOL/ML X 10 ML AMP</v>
      </c>
    </row>
    <row r="76" spans="14:16" x14ac:dyDescent="0.25">
      <c r="N76" s="3">
        <v>1418201</v>
      </c>
      <c r="O76" s="3" t="s">
        <v>383</v>
      </c>
      <c r="P76" t="str">
        <f t="shared" si="3"/>
        <v>1418201 - FUROSEMIDA 20 MG AMP</v>
      </c>
    </row>
    <row r="77" spans="14:16" x14ac:dyDescent="0.25">
      <c r="N77" s="3">
        <v>194906</v>
      </c>
      <c r="O77" s="3" t="s">
        <v>384</v>
      </c>
      <c r="P77" t="str">
        <f t="shared" si="3"/>
        <v>194906 - GENTAMICINA 20 MG AMPOLLA</v>
      </c>
    </row>
    <row r="78" spans="14:16" x14ac:dyDescent="0.25">
      <c r="N78" s="3">
        <v>195806</v>
      </c>
      <c r="O78" s="3" t="s">
        <v>385</v>
      </c>
      <c r="P78" t="str">
        <f t="shared" si="3"/>
        <v>195806 - GENTAMICINA 80 MG AMPOLLA</v>
      </c>
    </row>
    <row r="79" spans="14:16" x14ac:dyDescent="0.25">
      <c r="N79" s="3">
        <v>2904901</v>
      </c>
      <c r="O79" s="3" t="s">
        <v>386</v>
      </c>
      <c r="P79" t="str">
        <f t="shared" si="3"/>
        <v>2904901 - GLUCONATO DE CALCIO x 10 ML AMP</v>
      </c>
    </row>
    <row r="80" spans="14:16" x14ac:dyDescent="0.25">
      <c r="N80" s="3">
        <v>405713</v>
      </c>
      <c r="O80" s="3" t="s">
        <v>387</v>
      </c>
      <c r="P80" t="str">
        <f t="shared" si="3"/>
        <v>405713 - GLUCOSADO HIPERTONICO 25 % X 10 ML AMP</v>
      </c>
    </row>
    <row r="81" spans="14:16" x14ac:dyDescent="0.25">
      <c r="N81" s="3">
        <v>206917</v>
      </c>
      <c r="O81" s="3" t="s">
        <v>388</v>
      </c>
      <c r="P81" t="str">
        <f t="shared" si="3"/>
        <v>206917 - HALOPERIDOL 5 MG/ML AMPOLLA IV</v>
      </c>
    </row>
    <row r="82" spans="14:16" x14ac:dyDescent="0.25">
      <c r="N82" s="3">
        <v>497401</v>
      </c>
      <c r="O82" s="3" t="s">
        <v>389</v>
      </c>
      <c r="P82" t="str">
        <f t="shared" si="3"/>
        <v>497401 - HEPARINA SODICA 5000UI/ML X 5 ML FCO-AMP</v>
      </c>
    </row>
    <row r="83" spans="14:16" x14ac:dyDescent="0.25">
      <c r="N83" s="3">
        <v>1032801</v>
      </c>
      <c r="O83" s="3" t="s">
        <v>390</v>
      </c>
      <c r="P83" t="str">
        <f t="shared" si="3"/>
        <v>1032801 - HIDROCORTISONA 100 MG  FCO-AMP</v>
      </c>
    </row>
    <row r="84" spans="14:16" x14ac:dyDescent="0.25">
      <c r="N84" s="3">
        <v>1032802</v>
      </c>
      <c r="O84" s="3" t="s">
        <v>391</v>
      </c>
      <c r="P84" t="str">
        <f t="shared" si="3"/>
        <v>1032802 - HIDROCORTISONA 500 MG  FCO-AMP</v>
      </c>
    </row>
    <row r="85" spans="14:16" x14ac:dyDescent="0.25">
      <c r="N85" s="3">
        <v>475202</v>
      </c>
      <c r="O85" s="3" t="s">
        <v>392</v>
      </c>
      <c r="P85" t="str">
        <f t="shared" si="3"/>
        <v>475202 - HIERRO AC FOLICO VIT B12 AMP</v>
      </c>
    </row>
    <row r="86" spans="14:16" x14ac:dyDescent="0.25">
      <c r="N86" s="3">
        <v>475101</v>
      </c>
      <c r="O86" s="3" t="s">
        <v>393</v>
      </c>
      <c r="P86" t="str">
        <f t="shared" si="3"/>
        <v>475101 - HIERRO DEXTRANO 5% AMP</v>
      </c>
    </row>
    <row r="87" spans="14:16" x14ac:dyDescent="0.25">
      <c r="N87" s="3">
        <v>1952001</v>
      </c>
      <c r="O87" s="3" t="s">
        <v>394</v>
      </c>
      <c r="P87" t="str">
        <f t="shared" si="3"/>
        <v>1952001 - HIERRO SACARATO 100 MG/ 5ML AMP</v>
      </c>
    </row>
    <row r="88" spans="14:16" x14ac:dyDescent="0.25">
      <c r="N88" s="3">
        <v>580508</v>
      </c>
      <c r="O88" s="3" t="s">
        <v>395</v>
      </c>
      <c r="P88" t="str">
        <f t="shared" si="3"/>
        <v>580508 - HIOSCINA + DIPIRONA X 5 ML AMP</v>
      </c>
    </row>
    <row r="89" spans="14:16" x14ac:dyDescent="0.25">
      <c r="N89" s="3">
        <v>581803</v>
      </c>
      <c r="O89" s="3" t="s">
        <v>396</v>
      </c>
      <c r="P89" t="str">
        <f t="shared" si="3"/>
        <v>581803 - HIOSCINA 20 MG/ML AMP</v>
      </c>
    </row>
    <row r="90" spans="14:16" x14ac:dyDescent="0.25">
      <c r="N90" s="3">
        <v>2790901</v>
      </c>
      <c r="O90" s="3" t="s">
        <v>397</v>
      </c>
      <c r="P90" t="str">
        <f t="shared" si="3"/>
        <v>2790901 - IBUPROFENO AMP</v>
      </c>
    </row>
    <row r="91" spans="14:16" x14ac:dyDescent="0.25">
      <c r="N91" s="3">
        <v>1761803</v>
      </c>
      <c r="O91" s="3" t="s">
        <v>398</v>
      </c>
      <c r="P91" t="str">
        <f t="shared" si="3"/>
        <v>1761803 - IMIPENEM 500 MG FCO-AMP</v>
      </c>
    </row>
    <row r="92" spans="14:16" x14ac:dyDescent="0.25">
      <c r="N92" s="3" t="s">
        <v>399</v>
      </c>
      <c r="O92" s="3" t="s">
        <v>400</v>
      </c>
      <c r="P92" t="str">
        <f t="shared" si="3"/>
        <v>2144602-2246102 - INMUNOGLOBULINA HUMANA 10 G FCO-AMP</v>
      </c>
    </row>
    <row r="93" spans="14:16" x14ac:dyDescent="0.25">
      <c r="N93" s="3">
        <v>1885501</v>
      </c>
      <c r="O93" s="3" t="s">
        <v>401</v>
      </c>
      <c r="P93" t="str">
        <f t="shared" si="3"/>
        <v>1885501 - INSULINA HUMANA CTE 100UI/ML  FCO-AMP X 5 ML</v>
      </c>
    </row>
    <row r="94" spans="14:16" x14ac:dyDescent="0.25">
      <c r="N94" s="3">
        <v>1885401</v>
      </c>
      <c r="O94" s="3" t="s">
        <v>402</v>
      </c>
      <c r="P94" t="str">
        <f t="shared" si="3"/>
        <v>1885401 - INSULINA HUMANA NPH 100UI/ML  FCO-AMP X 5 ML</v>
      </c>
    </row>
    <row r="95" spans="14:16" x14ac:dyDescent="0.25">
      <c r="N95" s="3">
        <v>1128601</v>
      </c>
      <c r="O95" s="3" t="s">
        <v>403</v>
      </c>
      <c r="P95" t="str">
        <f t="shared" si="3"/>
        <v>1128601 - IOVERSOL 350 X 50 ML FRASCO AMPOLLA</v>
      </c>
    </row>
    <row r="96" spans="14:16" x14ac:dyDescent="0.25">
      <c r="N96" s="3">
        <v>810101</v>
      </c>
      <c r="O96" s="3" t="s">
        <v>404</v>
      </c>
      <c r="P96" t="str">
        <f t="shared" si="3"/>
        <v>810101 - ISOPROTERENOL 1 MG/5 ML AMP.</v>
      </c>
    </row>
    <row r="97" spans="14:16" x14ac:dyDescent="0.25">
      <c r="N97" s="3">
        <v>624704</v>
      </c>
      <c r="O97" s="3" t="s">
        <v>405</v>
      </c>
      <c r="P97" t="str">
        <f t="shared" si="3"/>
        <v>624704 - ISOXUPRINA 10 MG/2ML AMPOLLA</v>
      </c>
    </row>
    <row r="98" spans="14:16" x14ac:dyDescent="0.25">
      <c r="N98" s="3">
        <v>139505</v>
      </c>
      <c r="O98" s="3" t="s">
        <v>406</v>
      </c>
      <c r="P98" t="str">
        <f t="shared" si="3"/>
        <v>139505 - KETOROLAC 30 MG AMP</v>
      </c>
    </row>
    <row r="99" spans="14:16" x14ac:dyDescent="0.25">
      <c r="N99" s="3">
        <v>1372902</v>
      </c>
      <c r="O99" s="3" t="s">
        <v>407</v>
      </c>
      <c r="P99" t="str">
        <f t="shared" si="3"/>
        <v>1372902 - LABETALOL 5 MG/ML X 4 ML AMP</v>
      </c>
    </row>
    <row r="100" spans="14:16" x14ac:dyDescent="0.25">
      <c r="N100" s="3">
        <v>2029105</v>
      </c>
      <c r="O100" s="3" t="s">
        <v>408</v>
      </c>
      <c r="P100" t="str">
        <f t="shared" si="3"/>
        <v>2029105 - LEVETIRACETAM 100 MG FRASCO AMPOLLA</v>
      </c>
    </row>
    <row r="101" spans="14:16" x14ac:dyDescent="0.25">
      <c r="N101" s="3">
        <v>1638001</v>
      </c>
      <c r="O101" s="3" t="s">
        <v>409</v>
      </c>
      <c r="P101" t="str">
        <f t="shared" si="3"/>
        <v>1638001 - LEVOFLOXACINA  500 MG/ 100 ML AMP</v>
      </c>
    </row>
    <row r="102" spans="14:16" x14ac:dyDescent="0.25">
      <c r="N102" s="3">
        <v>2827901</v>
      </c>
      <c r="O102" s="3" t="s">
        <v>410</v>
      </c>
      <c r="P102" t="str">
        <f t="shared" si="3"/>
        <v>2827901 - LEVOMEPROMAZINA 25 MG/ML AMP</v>
      </c>
    </row>
    <row r="103" spans="14:16" x14ac:dyDescent="0.25">
      <c r="N103" s="3">
        <v>1799801</v>
      </c>
      <c r="O103" s="3" t="s">
        <v>411</v>
      </c>
      <c r="P103" t="str">
        <f t="shared" si="3"/>
        <v>1799801 - LEVOTIROXINA 200 MCG AMP</v>
      </c>
    </row>
    <row r="104" spans="14:16" x14ac:dyDescent="0.25">
      <c r="N104" s="3">
        <v>2790501</v>
      </c>
      <c r="O104" s="3" t="s">
        <v>412</v>
      </c>
      <c r="P104" t="str">
        <f t="shared" si="3"/>
        <v>2790501 - LIDOCAINA 2% C/E X 20 ML FCO-AMP</v>
      </c>
    </row>
    <row r="105" spans="14:16" x14ac:dyDescent="0.25">
      <c r="N105" s="3">
        <v>1121311</v>
      </c>
      <c r="O105" s="3" t="s">
        <v>413</v>
      </c>
      <c r="P105" t="str">
        <f t="shared" si="3"/>
        <v>1121311 - LIDOCAINA 2% S/E X 20 ML FCO-AMP</v>
      </c>
    </row>
    <row r="106" spans="14:16" x14ac:dyDescent="0.25">
      <c r="N106" s="3">
        <v>1121310</v>
      </c>
      <c r="O106" s="3" t="s">
        <v>414</v>
      </c>
      <c r="P106" t="str">
        <f t="shared" si="3"/>
        <v>1121310 - LIDOCAINA 2% X 5 ML AMP</v>
      </c>
    </row>
    <row r="107" spans="14:16" x14ac:dyDescent="0.25">
      <c r="N107" s="3">
        <v>1260501</v>
      </c>
      <c r="O107" s="3" t="s">
        <v>415</v>
      </c>
      <c r="P107" t="str">
        <f t="shared" si="3"/>
        <v>1260501 - LINEZOLID 600 MG/ 300ML AMP</v>
      </c>
    </row>
    <row r="108" spans="14:16" x14ac:dyDescent="0.25">
      <c r="N108" s="3">
        <v>261607</v>
      </c>
      <c r="O108" s="3" t="s">
        <v>416</v>
      </c>
      <c r="P108" t="str">
        <f t="shared" si="3"/>
        <v>261607 - LORAZEPAM  4 MG AMP</v>
      </c>
    </row>
    <row r="109" spans="14:16" x14ac:dyDescent="0.25">
      <c r="N109" s="3">
        <v>1698605</v>
      </c>
      <c r="O109" s="3" t="s">
        <v>417</v>
      </c>
      <c r="P109" t="str">
        <f t="shared" si="3"/>
        <v>1698605 - MEROPENEM 500 MG FCO-AMP</v>
      </c>
    </row>
    <row r="110" spans="14:16" x14ac:dyDescent="0.25">
      <c r="N110" s="3">
        <v>1394301</v>
      </c>
      <c r="O110" s="3" t="s">
        <v>418</v>
      </c>
      <c r="P110" t="str">
        <f t="shared" si="3"/>
        <v>1394301 - METARAMINOL AMP</v>
      </c>
    </row>
    <row r="111" spans="14:16" x14ac:dyDescent="0.25">
      <c r="N111" s="3">
        <v>1957501</v>
      </c>
      <c r="O111" s="3" t="s">
        <v>419</v>
      </c>
      <c r="P111" t="str">
        <f t="shared" si="3"/>
        <v>1957501 - METILPREDNISOLONA  500  MG FCO-AMP</v>
      </c>
    </row>
    <row r="112" spans="14:16" x14ac:dyDescent="0.25">
      <c r="N112" s="3">
        <v>1787202</v>
      </c>
      <c r="O112" s="3" t="s">
        <v>420</v>
      </c>
      <c r="P112" t="str">
        <f t="shared" si="3"/>
        <v>1787202 - METOCLOPRAMIDA  10 MG/2 ML AMP</v>
      </c>
    </row>
    <row r="113" spans="14:16" x14ac:dyDescent="0.25">
      <c r="N113" s="3">
        <v>277301</v>
      </c>
      <c r="O113" s="3" t="s">
        <v>421</v>
      </c>
      <c r="P113" t="str">
        <f t="shared" si="3"/>
        <v>277301 - METRONIDAZOL 500 MG AMP</v>
      </c>
    </row>
    <row r="114" spans="14:16" x14ac:dyDescent="0.25">
      <c r="N114" s="3">
        <v>531301</v>
      </c>
      <c r="O114" s="3" t="s">
        <v>422</v>
      </c>
      <c r="P114" t="str">
        <f t="shared" si="3"/>
        <v>531301 - METROTEXATO 50 MG AMP X 1 GENERICO</v>
      </c>
    </row>
    <row r="115" spans="14:16" x14ac:dyDescent="0.25">
      <c r="N115" s="3">
        <v>2765701</v>
      </c>
      <c r="O115" s="3" t="s">
        <v>423</v>
      </c>
      <c r="P115" t="str">
        <f t="shared" si="3"/>
        <v>2765701 - MIDAZOLAM 15 MG /3ML AMPOLLA</v>
      </c>
    </row>
    <row r="116" spans="14:16" x14ac:dyDescent="0.25">
      <c r="N116" s="3">
        <v>2237101</v>
      </c>
      <c r="O116" s="3" t="s">
        <v>424</v>
      </c>
      <c r="P116" t="str">
        <f t="shared" si="3"/>
        <v>2237101 - MILRINONA 10 MG FCO-AMP</v>
      </c>
    </row>
    <row r="117" spans="14:16" x14ac:dyDescent="0.25">
      <c r="N117" s="3">
        <v>2778401</v>
      </c>
      <c r="O117" s="3" t="s">
        <v>425</v>
      </c>
      <c r="P117" t="str">
        <f t="shared" si="3"/>
        <v>2778401 - MORFINA 10 MG / ML AMP</v>
      </c>
    </row>
    <row r="118" spans="14:16" x14ac:dyDescent="0.25">
      <c r="N118" s="3">
        <v>1554602</v>
      </c>
      <c r="O118" s="3" t="s">
        <v>426</v>
      </c>
      <c r="P118" t="str">
        <f t="shared" si="3"/>
        <v>1554602 - NALBUFINA 10 MG/ML AMP</v>
      </c>
    </row>
    <row r="119" spans="14:16" x14ac:dyDescent="0.25">
      <c r="N119" s="3">
        <v>1361001</v>
      </c>
      <c r="O119" s="3" t="s">
        <v>427</v>
      </c>
      <c r="P119" t="str">
        <f t="shared" si="3"/>
        <v>1361001 - NALOXONA 0.4 MG/ML AMP</v>
      </c>
    </row>
    <row r="120" spans="14:16" x14ac:dyDescent="0.25">
      <c r="N120" s="3">
        <v>1546204</v>
      </c>
      <c r="O120" s="3" t="s">
        <v>428</v>
      </c>
      <c r="P120" t="str">
        <f t="shared" si="3"/>
        <v>1546204 - NEOSTIGMINA 0,5 MG AMP</v>
      </c>
    </row>
    <row r="121" spans="14:16" x14ac:dyDescent="0.25">
      <c r="N121" s="3">
        <v>524503</v>
      </c>
      <c r="O121" s="3" t="s">
        <v>429</v>
      </c>
      <c r="P121" t="str">
        <f t="shared" si="3"/>
        <v>524503 - NITROGLICERINA 25 MG/ 5ML AMP</v>
      </c>
    </row>
    <row r="122" spans="14:16" x14ac:dyDescent="0.25">
      <c r="N122" s="3">
        <v>307302</v>
      </c>
      <c r="O122" s="3" t="s">
        <v>430</v>
      </c>
      <c r="P122" t="str">
        <f t="shared" si="3"/>
        <v>307302 - NITROPRUSIATO 50 MG FCO-AMP</v>
      </c>
    </row>
    <row r="123" spans="14:16" x14ac:dyDescent="0.25">
      <c r="N123" s="3">
        <v>552701</v>
      </c>
      <c r="O123" s="3" t="s">
        <v>431</v>
      </c>
      <c r="P123" t="str">
        <f t="shared" si="3"/>
        <v>552701 - NORADRENALINA 1 MG/ML AMP.</v>
      </c>
    </row>
    <row r="124" spans="14:16" x14ac:dyDescent="0.25">
      <c r="N124" s="3">
        <v>318201</v>
      </c>
      <c r="O124" s="3" t="s">
        <v>432</v>
      </c>
      <c r="P124" t="str">
        <f t="shared" si="3"/>
        <v>318201 - OCITOCINA 5 UI/ML  AMP</v>
      </c>
    </row>
    <row r="125" spans="14:16" x14ac:dyDescent="0.25">
      <c r="N125" s="3">
        <v>2349101</v>
      </c>
      <c r="O125" s="3" t="s">
        <v>433</v>
      </c>
      <c r="P125" t="str">
        <f t="shared" si="3"/>
        <v>2349101 - OCTREOTIDE 0.10 MG AMP</v>
      </c>
    </row>
    <row r="126" spans="14:16" x14ac:dyDescent="0.25">
      <c r="N126" s="3">
        <v>1338401</v>
      </c>
      <c r="O126" s="3" t="s">
        <v>434</v>
      </c>
      <c r="P126" t="str">
        <f t="shared" si="3"/>
        <v>1338401 - OMEPRAZOL 40 MG FCO-AMP</v>
      </c>
    </row>
    <row r="127" spans="14:16" x14ac:dyDescent="0.25">
      <c r="N127" s="3">
        <v>659504</v>
      </c>
      <c r="O127" s="3" t="s">
        <v>435</v>
      </c>
      <c r="P127" t="str">
        <f t="shared" si="3"/>
        <v>659504 - ONDANSETRON 8 MG AMP</v>
      </c>
    </row>
    <row r="128" spans="14:16" x14ac:dyDescent="0.25">
      <c r="N128" s="3">
        <v>1603702</v>
      </c>
      <c r="O128" s="3" t="s">
        <v>436</v>
      </c>
      <c r="P128" t="str">
        <f t="shared" si="3"/>
        <v>1603702 - PAMIDRONATO 90 MG FCO-AMP</v>
      </c>
    </row>
    <row r="129" spans="14:16" x14ac:dyDescent="0.25">
      <c r="N129" s="3">
        <v>51901</v>
      </c>
      <c r="O129" s="3" t="s">
        <v>437</v>
      </c>
      <c r="P129" t="str">
        <f t="shared" si="3"/>
        <v>51901 - PANCURONIO 4 MG AMP</v>
      </c>
    </row>
    <row r="130" spans="14:16" x14ac:dyDescent="0.25">
      <c r="N130" s="3">
        <v>2497501</v>
      </c>
      <c r="O130" s="3" t="s">
        <v>438</v>
      </c>
      <c r="P130" t="str">
        <f t="shared" si="3"/>
        <v>2497501 - PARACETAMOL 1000 MG AMPOLLA X 100 ML</v>
      </c>
    </row>
    <row r="131" spans="14:16" x14ac:dyDescent="0.25">
      <c r="N131" s="3">
        <v>337502</v>
      </c>
      <c r="O131" s="3" t="s">
        <v>439</v>
      </c>
      <c r="P131" t="str">
        <f t="shared" ref="P131:P165" si="4">_xlfn.CONCAT(N131," - ",O131)</f>
        <v>337502 - PENICILINA BENZATINICA 2400000 UI FCO-AMP</v>
      </c>
    </row>
    <row r="132" spans="14:16" x14ac:dyDescent="0.25">
      <c r="N132" s="3">
        <v>935407</v>
      </c>
      <c r="O132" s="3" t="s">
        <v>440</v>
      </c>
      <c r="P132" t="str">
        <f t="shared" si="4"/>
        <v>935407 - PENICILINA G SODICA 3000000 UI FCO-AMP</v>
      </c>
    </row>
    <row r="133" spans="14:16" x14ac:dyDescent="0.25">
      <c r="N133" s="3">
        <v>1324803</v>
      </c>
      <c r="O133" s="3" t="s">
        <v>441</v>
      </c>
      <c r="P133" t="str">
        <f t="shared" si="4"/>
        <v>1324803 - PIPERACILINA + TAZOBACTAM 4,5 G FCO-AMP</v>
      </c>
    </row>
    <row r="134" spans="14:16" x14ac:dyDescent="0.25">
      <c r="N134" s="3">
        <v>8104</v>
      </c>
      <c r="O134" s="3" t="s">
        <v>442</v>
      </c>
      <c r="P134" t="str">
        <f t="shared" si="4"/>
        <v>8104 - POLIDOCANOL 2% AMPOLLA</v>
      </c>
    </row>
    <row r="135" spans="14:16" x14ac:dyDescent="0.25">
      <c r="N135" s="3">
        <v>167306</v>
      </c>
      <c r="O135" s="3" t="s">
        <v>443</v>
      </c>
      <c r="P135" t="str">
        <f t="shared" si="4"/>
        <v>167306 - PROCAINA 50 %  x 10 ML AMP</v>
      </c>
    </row>
    <row r="136" spans="14:16" x14ac:dyDescent="0.25">
      <c r="N136" s="3">
        <v>171304</v>
      </c>
      <c r="O136" s="3" t="s">
        <v>444</v>
      </c>
      <c r="P136" t="str">
        <f t="shared" si="4"/>
        <v>171304 - PROMETAZINA 50 MG/2ML AMP</v>
      </c>
    </row>
    <row r="137" spans="14:16" x14ac:dyDescent="0.25">
      <c r="N137" s="3">
        <v>2911901</v>
      </c>
      <c r="O137" s="3" t="s">
        <v>445</v>
      </c>
      <c r="P137" t="str">
        <f t="shared" si="4"/>
        <v>2911901 - PROPANOLOL 5 MG AMP</v>
      </c>
    </row>
    <row r="138" spans="14:16" x14ac:dyDescent="0.25">
      <c r="N138" s="3">
        <v>1390001</v>
      </c>
      <c r="O138" s="3" t="s">
        <v>446</v>
      </c>
      <c r="P138" t="str">
        <f t="shared" si="4"/>
        <v>1390001 - PROPOFOL 10 MG/ML X 20 ML AMP</v>
      </c>
    </row>
    <row r="139" spans="14:16" x14ac:dyDescent="0.25">
      <c r="N139" s="3">
        <v>1039802</v>
      </c>
      <c r="O139" s="3" t="s">
        <v>447</v>
      </c>
      <c r="P139" t="str">
        <f t="shared" si="4"/>
        <v>1039802 - PROTAMINA SULFATO 50 MG AMPOLLA</v>
      </c>
    </row>
    <row r="140" spans="14:16" x14ac:dyDescent="0.25">
      <c r="N140" s="3">
        <v>1403401</v>
      </c>
      <c r="O140" s="3" t="s">
        <v>448</v>
      </c>
      <c r="P140" t="str">
        <f t="shared" si="4"/>
        <v>1403401 - PROTROMBINA COMPLEJO FCO-AMP</v>
      </c>
    </row>
    <row r="141" spans="14:16" x14ac:dyDescent="0.25">
      <c r="N141" s="3">
        <v>1327504</v>
      </c>
      <c r="O141" s="3" t="s">
        <v>449</v>
      </c>
      <c r="P141" t="str">
        <f t="shared" si="4"/>
        <v>1327504 - RANITIDINA 50 MG AMP</v>
      </c>
    </row>
    <row r="142" spans="14:16" x14ac:dyDescent="0.25">
      <c r="N142" s="3">
        <v>2076801</v>
      </c>
      <c r="O142" s="3" t="s">
        <v>450</v>
      </c>
      <c r="P142" t="str">
        <f t="shared" si="4"/>
        <v>2076801 - REMIFENTANILO 5 MG FCO-AMP</v>
      </c>
    </row>
    <row r="143" spans="14:16" x14ac:dyDescent="0.25">
      <c r="N143" s="3">
        <v>2155301</v>
      </c>
      <c r="O143" s="3" t="s">
        <v>451</v>
      </c>
      <c r="P143" t="str">
        <f t="shared" si="4"/>
        <v>2155301 - RIFAMPICINA 300 MG CAP</v>
      </c>
    </row>
    <row r="144" spans="14:16" x14ac:dyDescent="0.25">
      <c r="N144" s="3">
        <v>2476201</v>
      </c>
      <c r="O144" s="3" t="s">
        <v>452</v>
      </c>
      <c r="P144" t="str">
        <f t="shared" si="4"/>
        <v>2476201 - RIFAMPICINA 600 MG FCO AMP</v>
      </c>
    </row>
    <row r="145" spans="14:16" x14ac:dyDescent="0.25">
      <c r="N145" s="3">
        <v>2290901</v>
      </c>
      <c r="O145" s="3" t="s">
        <v>453</v>
      </c>
      <c r="P145" t="str">
        <f t="shared" si="4"/>
        <v>2290901 - ROCURONIO 50 MG AMP</v>
      </c>
    </row>
    <row r="146" spans="14:16" x14ac:dyDescent="0.25">
      <c r="N146" s="10">
        <v>403903</v>
      </c>
      <c r="O146" s="10" t="s">
        <v>289</v>
      </c>
      <c r="P146" t="str">
        <f t="shared" si="4"/>
        <v>403903 - SOLUCION FISIOLOGICA X 5 ML AMP</v>
      </c>
    </row>
    <row r="147" spans="14:16" x14ac:dyDescent="0.25">
      <c r="N147" s="3">
        <v>810701</v>
      </c>
      <c r="O147" s="3" t="s">
        <v>454</v>
      </c>
      <c r="P147" t="str">
        <f t="shared" si="4"/>
        <v>810701 - SUCCINILCOLINA 100 MG AMP</v>
      </c>
    </row>
    <row r="148" spans="14:16" x14ac:dyDescent="0.25">
      <c r="N148" s="3">
        <v>1418101</v>
      </c>
      <c r="O148" s="3" t="s">
        <v>455</v>
      </c>
      <c r="P148" t="str">
        <f t="shared" si="4"/>
        <v>1418101 - SULFATO DE MAGNESIO 25% X 5 ML AMP</v>
      </c>
    </row>
    <row r="149" spans="14:16" x14ac:dyDescent="0.25">
      <c r="N149" s="3">
        <v>509102</v>
      </c>
      <c r="O149" s="3" t="s">
        <v>456</v>
      </c>
      <c r="P149" t="str">
        <f t="shared" si="4"/>
        <v>509102 - SURFACTANTE X 4 ML FCO-AMP</v>
      </c>
    </row>
    <row r="150" spans="14:16" x14ac:dyDescent="0.25">
      <c r="N150" s="3">
        <v>509101</v>
      </c>
      <c r="O150" s="3" t="s">
        <v>457</v>
      </c>
      <c r="P150" t="str">
        <f t="shared" si="4"/>
        <v>509101 - SURFACTANTE X 8 ML FCO-AMP</v>
      </c>
    </row>
    <row r="151" spans="14:16" x14ac:dyDescent="0.25">
      <c r="N151" s="3">
        <v>1254902</v>
      </c>
      <c r="O151" s="3" t="s">
        <v>458</v>
      </c>
      <c r="P151" t="str">
        <f t="shared" si="4"/>
        <v>1254902 - TEICOPLANINA 400 MG FCO-AMP</v>
      </c>
    </row>
    <row r="152" spans="14:16" x14ac:dyDescent="0.25">
      <c r="N152" s="3">
        <v>1903402</v>
      </c>
      <c r="O152" s="3" t="s">
        <v>459</v>
      </c>
      <c r="P152" t="str">
        <f t="shared" si="4"/>
        <v>1903402 - TERLIPRESINA 1 MG FCO-AMP</v>
      </c>
    </row>
    <row r="153" spans="14:16" x14ac:dyDescent="0.25">
      <c r="N153" s="3">
        <v>1764201</v>
      </c>
      <c r="O153" s="3" t="s">
        <v>460</v>
      </c>
      <c r="P153" t="str">
        <f t="shared" si="4"/>
        <v>1764201 - TIGECICLINA 50 MG FCO AMP</v>
      </c>
    </row>
    <row r="154" spans="14:16" x14ac:dyDescent="0.25">
      <c r="N154" s="3">
        <v>2461602</v>
      </c>
      <c r="O154" s="3" t="s">
        <v>461</v>
      </c>
      <c r="P154" t="str">
        <f t="shared" si="4"/>
        <v>2461602 - TIROFIBAN CLORHIDRATO 0,25MG/ML AMPOLLA</v>
      </c>
    </row>
    <row r="155" spans="14:16" x14ac:dyDescent="0.25">
      <c r="N155" s="3">
        <v>73905</v>
      </c>
      <c r="O155" s="3" t="s">
        <v>462</v>
      </c>
      <c r="P155" t="str">
        <f t="shared" si="4"/>
        <v>73905 - TRAMADOL 50 MG AMP</v>
      </c>
    </row>
    <row r="156" spans="14:16" x14ac:dyDescent="0.25">
      <c r="N156" s="3">
        <v>699601</v>
      </c>
      <c r="O156" s="3" t="s">
        <v>463</v>
      </c>
      <c r="P156" t="str">
        <f t="shared" si="4"/>
        <v>699601 - TRIMETOPRIMA 80 MG + SULFAMETOXAZOL 400 MG AMP</v>
      </c>
    </row>
    <row r="157" spans="14:16" x14ac:dyDescent="0.25">
      <c r="N157" s="3">
        <v>284601</v>
      </c>
      <c r="O157" s="3" t="s">
        <v>464</v>
      </c>
      <c r="P157" t="str">
        <f t="shared" si="4"/>
        <v>284601 - VACUNA TRIPLE VIRAL - Parotiditis/Rubéola/Sarampión</v>
      </c>
    </row>
    <row r="158" spans="14:16" x14ac:dyDescent="0.25">
      <c r="N158" s="3">
        <v>734103</v>
      </c>
      <c r="O158" s="3" t="s">
        <v>465</v>
      </c>
      <c r="P158" t="str">
        <f t="shared" si="4"/>
        <v>734103 - VANCOMICINA 500 MG FCO AMP</v>
      </c>
    </row>
    <row r="159" spans="14:16" x14ac:dyDescent="0.25">
      <c r="N159" s="3">
        <v>2079201</v>
      </c>
      <c r="O159" s="3" t="s">
        <v>466</v>
      </c>
      <c r="P159" t="str">
        <f t="shared" si="4"/>
        <v>2079201 - VASOPRESINA 20UI AMPOLLA X 1 GENERICO</v>
      </c>
    </row>
    <row r="160" spans="14:16" x14ac:dyDescent="0.25">
      <c r="N160" s="3">
        <v>1345802</v>
      </c>
      <c r="O160" s="3" t="s">
        <v>467</v>
      </c>
      <c r="P160" t="str">
        <f t="shared" si="4"/>
        <v>1345802 - VECURONIO 10 MG FCO-AMP X 10ML</v>
      </c>
    </row>
    <row r="161" spans="14:16" x14ac:dyDescent="0.25">
      <c r="N161" s="3">
        <v>1122201</v>
      </c>
      <c r="O161" s="3" t="s">
        <v>468</v>
      </c>
      <c r="P161" t="str">
        <f t="shared" si="4"/>
        <v>1122201 - VITAMINA K 1 MG AMP IM/SC</v>
      </c>
    </row>
    <row r="162" spans="14:16" x14ac:dyDescent="0.25">
      <c r="N162" s="3">
        <v>746502</v>
      </c>
      <c r="O162" s="3" t="s">
        <v>469</v>
      </c>
      <c r="P162" t="str">
        <f t="shared" si="4"/>
        <v>746502 - VITAMINA K 10 MG AMP EV/ORAL</v>
      </c>
    </row>
    <row r="163" spans="14:16" x14ac:dyDescent="0.25">
      <c r="N163" s="3">
        <v>470203</v>
      </c>
      <c r="O163" s="3" t="s">
        <v>470</v>
      </c>
      <c r="P163" t="str">
        <f t="shared" si="4"/>
        <v>470203 - VITAMINA K 10 MG AMP IM</v>
      </c>
    </row>
    <row r="164" spans="14:16" x14ac:dyDescent="0.25">
      <c r="N164" s="3">
        <v>1542503</v>
      </c>
      <c r="O164" s="3" t="s">
        <v>471</v>
      </c>
      <c r="P164" t="str">
        <f t="shared" si="4"/>
        <v>1542503 - VORICONAZOL 200 MG AMP</v>
      </c>
    </row>
    <row r="165" spans="14:16" x14ac:dyDescent="0.25">
      <c r="N165" s="3">
        <v>1056801</v>
      </c>
      <c r="O165" s="3" t="s">
        <v>472</v>
      </c>
      <c r="P165" t="str">
        <f t="shared" si="4"/>
        <v>1056801 - ZIDOVUDINA 200 MG FCO-AMP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55D6A-0AA7-4D0E-91E5-1599D0B1A663}">
  <sheetPr codeName="Hoja4"/>
  <dimension ref="A1:E619"/>
  <sheetViews>
    <sheetView topLeftCell="C2" workbookViewId="0">
      <selection activeCell="B619" sqref="B618:E619"/>
    </sheetView>
  </sheetViews>
  <sheetFormatPr baseColWidth="10" defaultColWidth="11.42578125" defaultRowHeight="15" x14ac:dyDescent="0.25"/>
  <cols>
    <col min="1" max="1" width="15.7109375" style="25" bestFit="1" customWidth="1"/>
    <col min="2" max="3" width="78.42578125" style="25" bestFit="1" customWidth="1"/>
    <col min="4" max="4" width="18.5703125" style="25" bestFit="1" customWidth="1"/>
    <col min="5" max="5" width="129.140625" bestFit="1" customWidth="1"/>
  </cols>
  <sheetData>
    <row r="1" spans="1:5" x14ac:dyDescent="0.25">
      <c r="A1" s="1" t="s">
        <v>258</v>
      </c>
      <c r="B1" s="1" t="s">
        <v>473</v>
      </c>
      <c r="C1" s="1" t="s">
        <v>259</v>
      </c>
      <c r="D1" s="1" t="s">
        <v>474</v>
      </c>
      <c r="E1" s="2" t="s">
        <v>475</v>
      </c>
    </row>
    <row r="2" spans="1:5" x14ac:dyDescent="0.25">
      <c r="A2" s="3">
        <v>398903</v>
      </c>
      <c r="B2" s="3">
        <v>200001</v>
      </c>
      <c r="C2" s="3" t="s">
        <v>476</v>
      </c>
      <c r="D2" s="3"/>
      <c r="E2" s="4" t="str">
        <f>_xlfn.CONCAT(A2, " - ",C2, " - ",D2)</f>
        <v xml:space="preserve">398903 - ACENOCUMAROL 1 MG COMP - </v>
      </c>
    </row>
    <row r="3" spans="1:5" x14ac:dyDescent="0.25">
      <c r="A3" s="3">
        <v>398901</v>
      </c>
      <c r="B3" s="3">
        <v>200002</v>
      </c>
      <c r="C3" s="3" t="s">
        <v>477</v>
      </c>
      <c r="D3" s="3"/>
      <c r="E3" s="4" t="str">
        <f t="shared" ref="E3:E66" si="0">_xlfn.CONCAT(A3, " - ",C3, " - ",D3)</f>
        <v xml:space="preserve">398901 - ACENOCUMAROL 4 MG COMP - </v>
      </c>
    </row>
    <row r="4" spans="1:5" x14ac:dyDescent="0.25">
      <c r="A4" s="3">
        <v>2163101</v>
      </c>
      <c r="B4" s="3">
        <v>200003</v>
      </c>
      <c r="C4" s="3" t="s">
        <v>478</v>
      </c>
      <c r="D4" s="3"/>
      <c r="E4" s="4" t="str">
        <f t="shared" si="0"/>
        <v xml:space="preserve">2163101 - ACETAZOLAMIDA 250 MG COMP - </v>
      </c>
    </row>
    <row r="5" spans="1:5" x14ac:dyDescent="0.25">
      <c r="A5" s="3">
        <v>957203</v>
      </c>
      <c r="B5" s="3">
        <v>200004</v>
      </c>
      <c r="C5" s="3" t="s">
        <v>479</v>
      </c>
      <c r="D5" s="3"/>
      <c r="E5" s="4" t="str">
        <f t="shared" si="0"/>
        <v xml:space="preserve">957203 - ACETILCISTEINA 600 MG COMP EFERVESCENTE - </v>
      </c>
    </row>
    <row r="6" spans="1:5" x14ac:dyDescent="0.25">
      <c r="A6" s="3">
        <v>1238604</v>
      </c>
      <c r="B6" s="3">
        <v>200006</v>
      </c>
      <c r="C6" s="3" t="s">
        <v>260</v>
      </c>
      <c r="D6" s="3"/>
      <c r="E6" s="4" t="str">
        <f t="shared" si="0"/>
        <v xml:space="preserve">1238604 - ACICLOVIR 500 MG FCO-AMP - </v>
      </c>
    </row>
    <row r="7" spans="1:5" x14ac:dyDescent="0.25">
      <c r="A7" s="3">
        <v>673702</v>
      </c>
      <c r="B7" s="3">
        <v>200008</v>
      </c>
      <c r="C7" s="3" t="s">
        <v>480</v>
      </c>
      <c r="D7" s="3"/>
      <c r="E7" s="4" t="str">
        <f t="shared" si="0"/>
        <v xml:space="preserve">673702 - ACICLOVIR 8 G/100 ML X 120 ML SUSP - </v>
      </c>
    </row>
    <row r="8" spans="1:5" x14ac:dyDescent="0.25">
      <c r="A8" s="3">
        <v>647502</v>
      </c>
      <c r="B8" s="3">
        <v>200007</v>
      </c>
      <c r="C8" s="3" t="s">
        <v>481</v>
      </c>
      <c r="D8" s="3"/>
      <c r="E8" s="4" t="str">
        <f t="shared" si="0"/>
        <v xml:space="preserve">647502 - ACICLOVIR 800 MG COMP - </v>
      </c>
    </row>
    <row r="9" spans="1:5" x14ac:dyDescent="0.25">
      <c r="A9" s="3">
        <v>257901</v>
      </c>
      <c r="B9" s="3">
        <v>200005</v>
      </c>
      <c r="C9" s="3" t="s">
        <v>482</v>
      </c>
      <c r="D9" s="3"/>
      <c r="E9" s="4" t="str">
        <f t="shared" si="0"/>
        <v xml:space="preserve">257901 - ACICLOVIR UNG X 10 G - </v>
      </c>
    </row>
    <row r="10" spans="1:5" x14ac:dyDescent="0.25">
      <c r="A10" s="3">
        <v>230503</v>
      </c>
      <c r="B10" s="3">
        <v>200026</v>
      </c>
      <c r="C10" s="3" t="s">
        <v>267</v>
      </c>
      <c r="D10" s="3"/>
      <c r="E10" s="4" t="str">
        <f t="shared" si="0"/>
        <v xml:space="preserve">230503 - ACIDO AMINOCAPROICO 2 G X 10 ML AMP - </v>
      </c>
    </row>
    <row r="11" spans="1:5" x14ac:dyDescent="0.25">
      <c r="A11" s="3">
        <v>696801</v>
      </c>
      <c r="B11" s="3">
        <v>200222</v>
      </c>
      <c r="C11" s="3" t="s">
        <v>483</v>
      </c>
      <c r="D11" s="3"/>
      <c r="E11" s="4" t="str">
        <f t="shared" si="0"/>
        <v xml:space="preserve">696801 - ACIDO FOLICO 5 MG COMP - </v>
      </c>
    </row>
    <row r="12" spans="1:5" x14ac:dyDescent="0.25">
      <c r="A12" s="3">
        <v>2062105</v>
      </c>
      <c r="B12" s="3">
        <v>200504</v>
      </c>
      <c r="C12" s="3" t="s">
        <v>273</v>
      </c>
      <c r="D12" s="3"/>
      <c r="E12" s="4" t="str">
        <f t="shared" si="0"/>
        <v xml:space="preserve">2062105 - ACIDO TRANEXAMICO 500 MG X 5 ML AMP - </v>
      </c>
    </row>
    <row r="13" spans="1:5" x14ac:dyDescent="0.25">
      <c r="A13" s="3">
        <v>260101</v>
      </c>
      <c r="B13" s="3">
        <v>200514</v>
      </c>
      <c r="C13" s="3" t="s">
        <v>484</v>
      </c>
      <c r="D13" s="3"/>
      <c r="E13" s="4" t="str">
        <f t="shared" si="0"/>
        <v xml:space="preserve">260101 - ACIDO VALPROICO 5 G/ 100 ML X 120 ML SUSP - </v>
      </c>
    </row>
    <row r="14" spans="1:5" x14ac:dyDescent="0.25">
      <c r="A14" s="3">
        <v>1055001</v>
      </c>
      <c r="B14" s="3">
        <v>200009</v>
      </c>
      <c r="C14" s="3" t="s">
        <v>279</v>
      </c>
      <c r="D14" s="3"/>
      <c r="E14" s="4" t="str">
        <f t="shared" si="0"/>
        <v xml:space="preserve">1055001 - ADENOSINA 3 MG/ML X 2 ML AMPOLLA - </v>
      </c>
    </row>
    <row r="15" spans="1:5" x14ac:dyDescent="0.25">
      <c r="A15" s="3">
        <v>552701</v>
      </c>
      <c r="B15" s="3">
        <v>200010</v>
      </c>
      <c r="C15" s="3" t="s">
        <v>284</v>
      </c>
      <c r="D15" s="3"/>
      <c r="E15" s="4" t="str">
        <f t="shared" si="0"/>
        <v xml:space="preserve">552701 - ADRENALINA 1 MG/ML AMP - </v>
      </c>
    </row>
    <row r="16" spans="1:5" x14ac:dyDescent="0.25">
      <c r="A16" s="3">
        <v>10802</v>
      </c>
      <c r="B16" s="3">
        <v>200011</v>
      </c>
      <c r="C16" s="3" t="s">
        <v>485</v>
      </c>
      <c r="D16" s="3"/>
      <c r="E16" s="4" t="str">
        <f t="shared" si="0"/>
        <v xml:space="preserve">10802 - AGUA DESTILADA X 5 ML - </v>
      </c>
    </row>
    <row r="17" spans="1:5" x14ac:dyDescent="0.25">
      <c r="A17" s="3">
        <v>2734901</v>
      </c>
      <c r="B17" s="3"/>
      <c r="C17" s="3" t="s">
        <v>486</v>
      </c>
      <c r="D17" s="3"/>
      <c r="E17" s="4" t="str">
        <f t="shared" si="0"/>
        <v xml:space="preserve">2734901 - AGUA DESTILADA INYECTABLE X 500 - </v>
      </c>
    </row>
    <row r="18" spans="1:5" x14ac:dyDescent="0.25">
      <c r="A18" s="3">
        <v>406421</v>
      </c>
      <c r="B18" s="3"/>
      <c r="C18" s="3" t="s">
        <v>487</v>
      </c>
      <c r="D18" s="3"/>
      <c r="E18" s="4" t="str">
        <f t="shared" si="0"/>
        <v xml:space="preserve">406421 - AGUA PARA IRRIGACION  x 2000ml - </v>
      </c>
    </row>
    <row r="19" spans="1:5" x14ac:dyDescent="0.25">
      <c r="A19" s="3">
        <v>1075401</v>
      </c>
      <c r="B19" s="3">
        <v>200013</v>
      </c>
      <c r="C19" s="3" t="s">
        <v>488</v>
      </c>
      <c r="D19" s="3"/>
      <c r="E19" s="4" t="str">
        <f t="shared" si="0"/>
        <v xml:space="preserve">1075401 - ALANTOINA CALENDULA CREMA X 50gr - </v>
      </c>
    </row>
    <row r="20" spans="1:5" x14ac:dyDescent="0.25">
      <c r="A20" s="3">
        <v>2558901</v>
      </c>
      <c r="B20" s="3">
        <v>200014</v>
      </c>
      <c r="C20" s="3" t="s">
        <v>287</v>
      </c>
      <c r="D20" s="3"/>
      <c r="E20" s="4" t="str">
        <f t="shared" si="0"/>
        <v xml:space="preserve">2558901 - ALBUMINA HUMANA AL 20% X 50 ML FCO-AMP - </v>
      </c>
    </row>
    <row r="21" spans="1:5" x14ac:dyDescent="0.25">
      <c r="A21" s="3">
        <v>1263902</v>
      </c>
      <c r="B21" s="3">
        <v>200015</v>
      </c>
      <c r="C21" s="3" t="s">
        <v>489</v>
      </c>
      <c r="D21" s="3"/>
      <c r="E21" s="4" t="str">
        <f t="shared" si="0"/>
        <v xml:space="preserve">1263902 - ALLOPURINOL 100 MG COMP - </v>
      </c>
    </row>
    <row r="22" spans="1:5" x14ac:dyDescent="0.25">
      <c r="A22" s="3">
        <v>1263904</v>
      </c>
      <c r="B22" s="3">
        <v>200016</v>
      </c>
      <c r="C22" s="3" t="s">
        <v>490</v>
      </c>
      <c r="D22" s="3"/>
      <c r="E22" s="4" t="str">
        <f t="shared" si="0"/>
        <v xml:space="preserve">1263904 - ALLOPURINOL 300 MG COMP - </v>
      </c>
    </row>
    <row r="23" spans="1:5" x14ac:dyDescent="0.25">
      <c r="A23" s="3">
        <v>441002</v>
      </c>
      <c r="B23" s="3">
        <v>200017</v>
      </c>
      <c r="C23" s="3" t="s">
        <v>491</v>
      </c>
      <c r="D23" s="3"/>
      <c r="E23" s="4" t="str">
        <f t="shared" si="0"/>
        <v xml:space="preserve">441002 - ALPRAZOLAM 0,5 MG COMP - </v>
      </c>
    </row>
    <row r="24" spans="1:5" x14ac:dyDescent="0.25">
      <c r="A24" s="3">
        <v>441003</v>
      </c>
      <c r="B24" s="3">
        <v>200020</v>
      </c>
      <c r="C24" s="3" t="s">
        <v>492</v>
      </c>
      <c r="D24" s="3"/>
      <c r="E24" s="4" t="str">
        <f t="shared" si="0"/>
        <v xml:space="preserve">441003 - ALPRAZOLAM 2 MG COMP - </v>
      </c>
    </row>
    <row r="25" spans="1:5" x14ac:dyDescent="0.25">
      <c r="A25" s="3">
        <v>2046301</v>
      </c>
      <c r="B25" s="3">
        <v>200022</v>
      </c>
      <c r="C25" s="3" t="s">
        <v>290</v>
      </c>
      <c r="D25" s="3"/>
      <c r="E25" s="4" t="str">
        <f t="shared" si="0"/>
        <v xml:space="preserve">2046301 - ALPROSTADIL 500 MCG/ML  AMP - </v>
      </c>
    </row>
    <row r="26" spans="1:5" x14ac:dyDescent="0.25">
      <c r="A26" s="3">
        <v>1035801</v>
      </c>
      <c r="B26" s="3"/>
      <c r="C26" s="3" t="s">
        <v>493</v>
      </c>
      <c r="D26" s="3"/>
      <c r="E26" s="4" t="str">
        <f t="shared" si="0"/>
        <v xml:space="preserve">1035801 - ALTERNA 1L-ALIMENTACION - </v>
      </c>
    </row>
    <row r="27" spans="1:5" x14ac:dyDescent="0.25">
      <c r="A27" s="3">
        <v>4402</v>
      </c>
      <c r="B27" s="3">
        <v>200023</v>
      </c>
      <c r="C27" s="3" t="s">
        <v>293</v>
      </c>
      <c r="D27" s="3"/>
      <c r="E27" s="4" t="str">
        <f t="shared" si="0"/>
        <v xml:space="preserve">4402 - ALTEPASA 50 MG FCO-AMP - </v>
      </c>
    </row>
    <row r="28" spans="1:5" x14ac:dyDescent="0.25">
      <c r="A28" s="3">
        <v>1863901</v>
      </c>
      <c r="B28" s="3">
        <v>200024</v>
      </c>
      <c r="C28" s="3" t="s">
        <v>494</v>
      </c>
      <c r="D28" s="3"/>
      <c r="E28" s="4" t="str">
        <f t="shared" si="0"/>
        <v xml:space="preserve">1863901 - AMBROXOL X 120 ML JARABE - </v>
      </c>
    </row>
    <row r="29" spans="1:5" x14ac:dyDescent="0.25">
      <c r="A29" s="3">
        <v>882001</v>
      </c>
      <c r="B29" s="3">
        <v>200025</v>
      </c>
      <c r="C29" s="3" t="s">
        <v>296</v>
      </c>
      <c r="D29" s="3"/>
      <c r="E29" s="4" t="str">
        <f t="shared" si="0"/>
        <v xml:space="preserve">882001 - AMIKACINA 500 MG AMP - </v>
      </c>
    </row>
    <row r="30" spans="1:5" x14ac:dyDescent="0.25">
      <c r="A30" s="3">
        <v>167404</v>
      </c>
      <c r="B30" s="3">
        <v>200027</v>
      </c>
      <c r="C30" s="3" t="s">
        <v>299</v>
      </c>
      <c r="D30" s="3"/>
      <c r="E30" s="4" t="str">
        <f t="shared" si="0"/>
        <v xml:space="preserve">167404 - AMINOFILINA 240 MG X 10 ML AMP - </v>
      </c>
    </row>
    <row r="31" spans="1:5" x14ac:dyDescent="0.25">
      <c r="A31" s="3">
        <v>552302</v>
      </c>
      <c r="B31" s="3">
        <v>200028</v>
      </c>
      <c r="C31" s="3" t="s">
        <v>302</v>
      </c>
      <c r="D31" s="3"/>
      <c r="E31" s="4" t="str">
        <f t="shared" si="0"/>
        <v xml:space="preserve">552302 - AMIODARONA 150 MG X 3 ML AMP - </v>
      </c>
    </row>
    <row r="32" spans="1:5" x14ac:dyDescent="0.25">
      <c r="A32" s="3">
        <v>41002</v>
      </c>
      <c r="B32" s="3">
        <v>200029</v>
      </c>
      <c r="C32" s="3" t="s">
        <v>495</v>
      </c>
      <c r="D32" s="3"/>
      <c r="E32" s="4" t="str">
        <f t="shared" si="0"/>
        <v xml:space="preserve">41002 - AMIODARONA 200 MG COMP - </v>
      </c>
    </row>
    <row r="33" spans="1:5" x14ac:dyDescent="0.25">
      <c r="A33" s="3">
        <v>449002</v>
      </c>
      <c r="B33" s="3">
        <v>200030</v>
      </c>
      <c r="C33" s="3" t="s">
        <v>496</v>
      </c>
      <c r="D33" s="3"/>
      <c r="E33" s="4" t="str">
        <f t="shared" si="0"/>
        <v xml:space="preserve">449002 - AMITRIPTILINA 25 MG COMP - </v>
      </c>
    </row>
    <row r="34" spans="1:5" x14ac:dyDescent="0.25">
      <c r="A34" s="3">
        <v>78104</v>
      </c>
      <c r="B34" s="3">
        <v>200031</v>
      </c>
      <c r="C34" s="3" t="s">
        <v>497</v>
      </c>
      <c r="D34" s="3"/>
      <c r="E34" s="4" t="str">
        <f t="shared" si="0"/>
        <v xml:space="preserve">78104 - AMLODIPINA 10 MG COMP - </v>
      </c>
    </row>
    <row r="35" spans="1:5" x14ac:dyDescent="0.25">
      <c r="A35" s="3">
        <v>1470201</v>
      </c>
      <c r="B35" s="3">
        <v>200032</v>
      </c>
      <c r="C35" s="3" t="s">
        <v>498</v>
      </c>
      <c r="D35" s="3"/>
      <c r="E35" s="4" t="str">
        <f t="shared" si="0"/>
        <v xml:space="preserve">1470201 - AMLODIPINA 5 MG COMP - </v>
      </c>
    </row>
    <row r="36" spans="1:5" x14ac:dyDescent="0.25">
      <c r="A36" s="3">
        <v>945902</v>
      </c>
      <c r="B36" s="3">
        <v>200033</v>
      </c>
      <c r="C36" s="3" t="s">
        <v>499</v>
      </c>
      <c r="D36" s="3"/>
      <c r="E36" s="4" t="str">
        <f t="shared" si="0"/>
        <v xml:space="preserve">945902 - AMOXICILINA + AC CLAVULANICO 1 G COMP - </v>
      </c>
    </row>
    <row r="37" spans="1:5" x14ac:dyDescent="0.25">
      <c r="A37" s="3">
        <v>322105</v>
      </c>
      <c r="B37" s="3">
        <v>200034</v>
      </c>
      <c r="C37" s="3" t="s">
        <v>500</v>
      </c>
      <c r="D37" s="3"/>
      <c r="E37" s="4" t="str">
        <f t="shared" si="0"/>
        <v xml:space="preserve">322105 - AMOXICILINA + AC CLAVULANICO 250 MG X 90 ML SUSP - </v>
      </c>
    </row>
    <row r="38" spans="1:5" x14ac:dyDescent="0.25">
      <c r="A38" s="3">
        <v>24424</v>
      </c>
      <c r="B38" s="3">
        <v>200039</v>
      </c>
      <c r="C38" s="3" t="s">
        <v>501</v>
      </c>
      <c r="D38" s="3"/>
      <c r="E38" s="4" t="str">
        <f t="shared" si="0"/>
        <v xml:space="preserve">24424 - AMOXICILINA 500 MG COMP - </v>
      </c>
    </row>
    <row r="39" spans="1:5" x14ac:dyDescent="0.25">
      <c r="A39" s="3">
        <v>24411</v>
      </c>
      <c r="B39" s="3">
        <v>200040</v>
      </c>
      <c r="C39" s="3" t="s">
        <v>502</v>
      </c>
      <c r="D39" s="3"/>
      <c r="E39" s="4" t="str">
        <f t="shared" si="0"/>
        <v xml:space="preserve">24411 - AMOXICILINA 500 MG/5ML x 90 ML SUSP - </v>
      </c>
    </row>
    <row r="40" spans="1:5" x14ac:dyDescent="0.25">
      <c r="A40" s="3">
        <v>1325001</v>
      </c>
      <c r="B40" s="3">
        <v>200042</v>
      </c>
      <c r="C40" s="3" t="s">
        <v>305</v>
      </c>
      <c r="D40" s="3"/>
      <c r="E40" s="4" t="str">
        <f t="shared" si="0"/>
        <v xml:space="preserve">1325001 - AMPICILINA  1000 MG FCO-AMP - </v>
      </c>
    </row>
    <row r="41" spans="1:5" x14ac:dyDescent="0.25">
      <c r="A41" s="3">
        <v>910502</v>
      </c>
      <c r="B41" s="3">
        <v>200041</v>
      </c>
      <c r="C41" s="3" t="s">
        <v>308</v>
      </c>
      <c r="D41" s="3"/>
      <c r="E41" s="4" t="str">
        <f t="shared" si="0"/>
        <v xml:space="preserve">910502 - AMPICILINA + SULBACTAM 1.5 G FCO-AMP - </v>
      </c>
    </row>
    <row r="42" spans="1:5" x14ac:dyDescent="0.25">
      <c r="A42" s="3">
        <v>445308</v>
      </c>
      <c r="B42" s="3">
        <v>200043</v>
      </c>
      <c r="C42" s="3" t="s">
        <v>311</v>
      </c>
      <c r="D42" s="3"/>
      <c r="E42" s="4" t="str">
        <f t="shared" si="0"/>
        <v xml:space="preserve">445308 - AMPICILINA 500 MG COMP - </v>
      </c>
    </row>
    <row r="43" spans="1:5" x14ac:dyDescent="0.25">
      <c r="A43" s="3">
        <v>1115401</v>
      </c>
      <c r="B43" s="3">
        <v>200044</v>
      </c>
      <c r="C43" s="3" t="s">
        <v>314</v>
      </c>
      <c r="D43" s="3"/>
      <c r="E43" s="4" t="str">
        <f t="shared" si="0"/>
        <v xml:space="preserve">1115401 - ANFOTERICINA B 50 MG FCO-AMP - </v>
      </c>
    </row>
    <row r="44" spans="1:5" x14ac:dyDescent="0.25">
      <c r="A44" s="3">
        <v>617901</v>
      </c>
      <c r="B44" s="3">
        <v>200045</v>
      </c>
      <c r="C44" s="3" t="s">
        <v>317</v>
      </c>
      <c r="D44" s="3"/>
      <c r="E44" s="4" t="str">
        <f t="shared" si="0"/>
        <v xml:space="preserve">617901 - ANFOTERICINA B LIPOSOMAL 50 MG FCO-AMP - </v>
      </c>
    </row>
    <row r="45" spans="1:5" x14ac:dyDescent="0.25">
      <c r="A45" s="3">
        <v>1992101</v>
      </c>
      <c r="B45" s="3">
        <v>200046</v>
      </c>
      <c r="C45" s="3" t="s">
        <v>319</v>
      </c>
      <c r="D45" s="3"/>
      <c r="E45" s="4" t="str">
        <f t="shared" si="0"/>
        <v xml:space="preserve">1992101 - ANIDULAFUNGINA 100 MG AMP - </v>
      </c>
    </row>
    <row r="46" spans="1:5" x14ac:dyDescent="0.25">
      <c r="A46" s="3">
        <v>1965101</v>
      </c>
      <c r="B46" s="3">
        <v>200047</v>
      </c>
      <c r="C46" s="3" t="s">
        <v>503</v>
      </c>
      <c r="D46" s="3"/>
      <c r="E46" s="4" t="str">
        <f t="shared" si="0"/>
        <v xml:space="preserve">1965101 - ASPIRINA 100 MG COMP - </v>
      </c>
    </row>
    <row r="47" spans="1:5" x14ac:dyDescent="0.25">
      <c r="A47" s="3">
        <v>2114702</v>
      </c>
      <c r="B47" s="3">
        <v>200048</v>
      </c>
      <c r="C47" s="3" t="s">
        <v>504</v>
      </c>
      <c r="D47" s="3"/>
      <c r="E47" s="4" t="str">
        <f t="shared" si="0"/>
        <v xml:space="preserve">2114702 - ASPIRINA 325 MG COMP - </v>
      </c>
    </row>
    <row r="48" spans="1:5" x14ac:dyDescent="0.25">
      <c r="A48" s="3">
        <v>49604</v>
      </c>
      <c r="B48" s="3">
        <v>200049</v>
      </c>
      <c r="C48" s="3" t="s">
        <v>505</v>
      </c>
      <c r="D48" s="3"/>
      <c r="E48" s="4" t="str">
        <f t="shared" si="0"/>
        <v xml:space="preserve">49604 - ASPIRINA 500 MG COMP - </v>
      </c>
    </row>
    <row r="49" spans="1:5" x14ac:dyDescent="0.25">
      <c r="A49" s="3">
        <v>348306</v>
      </c>
      <c r="B49" s="3">
        <v>200051</v>
      </c>
      <c r="C49" s="3" t="s">
        <v>506</v>
      </c>
      <c r="D49" s="3"/>
      <c r="E49" s="4" t="str">
        <f t="shared" si="0"/>
        <v xml:space="preserve">348306 - ATENOLOL 25 MG COMP - </v>
      </c>
    </row>
    <row r="50" spans="1:5" x14ac:dyDescent="0.25">
      <c r="A50" s="3">
        <v>752205</v>
      </c>
      <c r="B50" s="3">
        <v>200052</v>
      </c>
      <c r="C50" s="3" t="s">
        <v>507</v>
      </c>
      <c r="D50" s="3"/>
      <c r="E50" s="4" t="str">
        <f t="shared" si="0"/>
        <v xml:space="preserve">752205 - ATENOLOL 50 MG COMP - </v>
      </c>
    </row>
    <row r="51" spans="1:5" x14ac:dyDescent="0.25">
      <c r="A51" s="3">
        <v>1147301</v>
      </c>
      <c r="B51" s="3">
        <v>200053</v>
      </c>
      <c r="C51" s="3" t="s">
        <v>508</v>
      </c>
      <c r="D51" s="3"/>
      <c r="E51" s="4" t="str">
        <f t="shared" si="0"/>
        <v xml:space="preserve">1147301 - ATORVASTATINA 10 MG COMP - </v>
      </c>
    </row>
    <row r="52" spans="1:5" x14ac:dyDescent="0.25">
      <c r="A52" s="3">
        <v>897701</v>
      </c>
      <c r="B52" s="3">
        <v>200054</v>
      </c>
      <c r="C52" s="3" t="s">
        <v>321</v>
      </c>
      <c r="D52" s="3"/>
      <c r="E52" s="4" t="str">
        <f t="shared" si="0"/>
        <v xml:space="preserve">897701 - ATRACURIO 50 MG AMP - </v>
      </c>
    </row>
    <row r="53" spans="1:5" x14ac:dyDescent="0.25">
      <c r="A53" s="3">
        <v>232501</v>
      </c>
      <c r="B53" s="3">
        <v>200055</v>
      </c>
      <c r="C53" s="3" t="s">
        <v>509</v>
      </c>
      <c r="D53" s="3"/>
      <c r="E53" s="4" t="str">
        <f t="shared" si="0"/>
        <v xml:space="preserve">232501 - ATROPINA 1% X 5 ML SN OFT - </v>
      </c>
    </row>
    <row r="54" spans="1:5" x14ac:dyDescent="0.25">
      <c r="A54" s="3">
        <v>42101</v>
      </c>
      <c r="B54" s="3">
        <v>200056</v>
      </c>
      <c r="C54" s="3" t="s">
        <v>323</v>
      </c>
      <c r="D54" s="3"/>
      <c r="E54" s="4" t="str">
        <f t="shared" si="0"/>
        <v xml:space="preserve">42101 - ATROPINA 1/1000 AMP - </v>
      </c>
    </row>
    <row r="55" spans="1:5" x14ac:dyDescent="0.25">
      <c r="A55" s="3">
        <v>1121702</v>
      </c>
      <c r="B55" s="3">
        <v>200058</v>
      </c>
      <c r="C55" s="3" t="s">
        <v>510</v>
      </c>
      <c r="D55" s="3"/>
      <c r="E55" s="4" t="str">
        <f t="shared" si="0"/>
        <v xml:space="preserve">1121702 - AZITROMICINA 500 MG COMP - </v>
      </c>
    </row>
    <row r="56" spans="1:5" x14ac:dyDescent="0.25">
      <c r="A56" s="3">
        <v>1254601</v>
      </c>
      <c r="B56" s="3">
        <v>200900</v>
      </c>
      <c r="C56" s="3" t="s">
        <v>325</v>
      </c>
      <c r="D56" s="3"/>
      <c r="E56" s="4" t="str">
        <f t="shared" si="0"/>
        <v xml:space="preserve">1254601 - AZTREONAM 1 G FRASCO AMPOLLA X 1 HSJD - </v>
      </c>
    </row>
    <row r="57" spans="1:5" x14ac:dyDescent="0.25">
      <c r="A57" s="3">
        <v>255802</v>
      </c>
      <c r="B57" s="3">
        <v>200059</v>
      </c>
      <c r="C57" s="3" t="s">
        <v>511</v>
      </c>
      <c r="D57" s="3"/>
      <c r="E57" s="4" t="str">
        <f t="shared" si="0"/>
        <v xml:space="preserve">255802 - BACLOFENO 10 MG COMP - </v>
      </c>
    </row>
    <row r="58" spans="1:5" x14ac:dyDescent="0.25">
      <c r="A58" s="3">
        <v>157401</v>
      </c>
      <c r="B58" s="3">
        <v>200061</v>
      </c>
      <c r="C58" s="3" t="s">
        <v>512</v>
      </c>
      <c r="D58" s="3"/>
      <c r="E58" s="4" t="str">
        <f t="shared" si="0"/>
        <v xml:space="preserve">157401 - BENCIDAMINA X 120 ML COLUTORIO - </v>
      </c>
    </row>
    <row r="59" spans="1:5" x14ac:dyDescent="0.25">
      <c r="A59" s="3">
        <v>1251501</v>
      </c>
      <c r="B59" s="3">
        <v>200063</v>
      </c>
      <c r="C59" s="3" t="s">
        <v>513</v>
      </c>
      <c r="D59" s="3"/>
      <c r="E59" s="4" t="str">
        <f t="shared" si="0"/>
        <v xml:space="preserve">1251501 - BETAM + GENT + MICONAZOL X 20 G CR - </v>
      </c>
    </row>
    <row r="60" spans="1:5" x14ac:dyDescent="0.25">
      <c r="A60" s="3">
        <v>1008502</v>
      </c>
      <c r="B60" s="3">
        <v>200064</v>
      </c>
      <c r="C60" s="3" t="s">
        <v>327</v>
      </c>
      <c r="D60" s="3"/>
      <c r="E60" s="4" t="str">
        <f t="shared" si="0"/>
        <v xml:space="preserve">1008502 - BETAMETASONA ACETATO + FOSFATO FCO-AMP - </v>
      </c>
    </row>
    <row r="61" spans="1:5" x14ac:dyDescent="0.25">
      <c r="A61" s="3">
        <v>11502</v>
      </c>
      <c r="B61" s="3">
        <v>200065</v>
      </c>
      <c r="C61" s="3" t="s">
        <v>514</v>
      </c>
      <c r="D61" s="3"/>
      <c r="E61" s="4" t="str">
        <f t="shared" si="0"/>
        <v xml:space="preserve">11502 - BIPERIDENO 2 MG COMP - </v>
      </c>
    </row>
    <row r="62" spans="1:5" x14ac:dyDescent="0.25">
      <c r="A62" s="3">
        <v>145002</v>
      </c>
      <c r="B62" s="3">
        <v>200066</v>
      </c>
      <c r="C62" s="3" t="s">
        <v>515</v>
      </c>
      <c r="D62" s="3"/>
      <c r="E62" s="4" t="str">
        <f t="shared" si="0"/>
        <v xml:space="preserve">145002 - BISACODILO 5 MG COMP - </v>
      </c>
    </row>
    <row r="63" spans="1:5" x14ac:dyDescent="0.25">
      <c r="A63" s="3">
        <v>106801</v>
      </c>
      <c r="B63" s="3">
        <v>200067</v>
      </c>
      <c r="C63" s="3" t="s">
        <v>516</v>
      </c>
      <c r="D63" s="3"/>
      <c r="E63" s="4" t="str">
        <f t="shared" si="0"/>
        <v xml:space="preserve">106801 - BISMUTO HIDROX + PECTINA x 90 ML SUSP - </v>
      </c>
    </row>
    <row r="64" spans="1:5" x14ac:dyDescent="0.25">
      <c r="A64" s="3">
        <v>1138501</v>
      </c>
      <c r="B64" s="3">
        <v>200068</v>
      </c>
      <c r="C64" s="3" t="s">
        <v>517</v>
      </c>
      <c r="D64" s="3"/>
      <c r="E64" s="4" t="str">
        <f t="shared" si="0"/>
        <v xml:space="preserve">1138501 - BISOPROLOL 5 MG COMP - </v>
      </c>
    </row>
    <row r="65" spans="1:5" x14ac:dyDescent="0.25">
      <c r="A65" s="3">
        <v>252802</v>
      </c>
      <c r="B65" s="3">
        <v>200070</v>
      </c>
      <c r="C65" s="3" t="s">
        <v>518</v>
      </c>
      <c r="D65" s="3"/>
      <c r="E65" s="4" t="str">
        <f t="shared" si="0"/>
        <v xml:space="preserve">252802 - BROMAZEPAM 3 MG COMP - </v>
      </c>
    </row>
    <row r="66" spans="1:5" x14ac:dyDescent="0.25">
      <c r="A66" s="3">
        <v>2163901</v>
      </c>
      <c r="B66" s="3">
        <v>200073</v>
      </c>
      <c r="C66" s="3" t="s">
        <v>519</v>
      </c>
      <c r="D66" s="3"/>
      <c r="E66" s="4" t="str">
        <f t="shared" si="0"/>
        <v xml:space="preserve">2163901 - BUDESONIDE 200 MCG X 200 DOSIS AEROSOL - </v>
      </c>
    </row>
    <row r="67" spans="1:5" x14ac:dyDescent="0.25">
      <c r="A67" s="3">
        <v>803302</v>
      </c>
      <c r="B67" s="3">
        <v>200072</v>
      </c>
      <c r="C67" s="3" t="s">
        <v>520</v>
      </c>
      <c r="D67" s="3"/>
      <c r="E67" s="4" t="str">
        <f t="shared" ref="E67:E130" si="1">_xlfn.CONCAT(A67, " - ",C67, " - ",D67)</f>
        <v xml:space="preserve">803302 - BUDESONIDE X 20 ML GOTAS NEB - </v>
      </c>
    </row>
    <row r="68" spans="1:5" x14ac:dyDescent="0.25">
      <c r="A68" s="3">
        <v>809602</v>
      </c>
      <c r="B68" s="3">
        <v>250001</v>
      </c>
      <c r="C68" s="3" t="s">
        <v>329</v>
      </c>
      <c r="D68" s="3"/>
      <c r="E68" s="4" t="str">
        <f t="shared" si="1"/>
        <v xml:space="preserve">809602 - BUPIVACAINA 0.5 % X 20 ML FCO-AMP - </v>
      </c>
    </row>
    <row r="69" spans="1:5" x14ac:dyDescent="0.25">
      <c r="A69" s="3">
        <v>1171502</v>
      </c>
      <c r="B69" s="3">
        <v>250002</v>
      </c>
      <c r="C69" s="3" t="s">
        <v>330</v>
      </c>
      <c r="D69" s="3"/>
      <c r="E69" s="4" t="str">
        <f t="shared" si="1"/>
        <v xml:space="preserve">1171502 - BUPIVACAINA 0.50% HIPERBARICA x 4 ML AMP - </v>
      </c>
    </row>
    <row r="70" spans="1:5" x14ac:dyDescent="0.25">
      <c r="A70" s="3">
        <v>1214902</v>
      </c>
      <c r="B70" s="3">
        <v>200074</v>
      </c>
      <c r="C70" s="3" t="s">
        <v>521</v>
      </c>
      <c r="D70" s="3"/>
      <c r="E70" s="4" t="str">
        <f t="shared" si="1"/>
        <v xml:space="preserve">1214902 - CABERGOLINA 2 MG COMP - </v>
      </c>
    </row>
    <row r="71" spans="1:5" x14ac:dyDescent="0.25">
      <c r="A71" s="3">
        <v>552601</v>
      </c>
      <c r="B71" s="3">
        <v>200076</v>
      </c>
      <c r="C71" s="3" t="s">
        <v>331</v>
      </c>
      <c r="D71" s="3"/>
      <c r="E71" s="4" t="str">
        <f t="shared" si="1"/>
        <v xml:space="preserve">552601 - CAFEINA 250 MG /ML AMP - </v>
      </c>
    </row>
    <row r="72" spans="1:5" x14ac:dyDescent="0.25">
      <c r="A72" s="3">
        <v>552601</v>
      </c>
      <c r="B72" s="3"/>
      <c r="C72" s="3" t="s">
        <v>522</v>
      </c>
      <c r="D72" s="3"/>
      <c r="E72" s="4" t="str">
        <f t="shared" si="1"/>
        <v xml:space="preserve">552601 - CAFEINA 10 MG/ML - </v>
      </c>
    </row>
    <row r="73" spans="1:5" x14ac:dyDescent="0.25">
      <c r="A73" s="3">
        <v>736001</v>
      </c>
      <c r="B73" s="3">
        <v>200081</v>
      </c>
      <c r="C73" s="3" t="s">
        <v>523</v>
      </c>
      <c r="D73" s="3"/>
      <c r="E73" s="4" t="str">
        <f t="shared" si="1"/>
        <v xml:space="preserve">736001 - CARBAMAZEPINA 200 MG COMP - </v>
      </c>
    </row>
    <row r="74" spans="1:5" x14ac:dyDescent="0.25">
      <c r="A74" s="3">
        <v>1286801</v>
      </c>
      <c r="B74" s="3">
        <v>200082</v>
      </c>
      <c r="C74" s="3" t="s">
        <v>332</v>
      </c>
      <c r="D74" s="3"/>
      <c r="E74" s="4" t="str">
        <f t="shared" si="1"/>
        <v xml:space="preserve">1286801 - CARBETOCIN 100 MCG AMPOLLA - </v>
      </c>
    </row>
    <row r="75" spans="1:5" x14ac:dyDescent="0.25">
      <c r="A75" s="3">
        <v>320203</v>
      </c>
      <c r="B75" s="3">
        <v>200083</v>
      </c>
      <c r="C75" s="3" t="s">
        <v>524</v>
      </c>
      <c r="D75" s="3"/>
      <c r="E75" s="4" t="str">
        <f t="shared" si="1"/>
        <v xml:space="preserve">320203 - CARBINOXAMINA X 20 ML GOTAS - </v>
      </c>
    </row>
    <row r="76" spans="1:5" x14ac:dyDescent="0.25">
      <c r="A76" s="3">
        <v>76402</v>
      </c>
      <c r="B76" s="3">
        <v>200084</v>
      </c>
      <c r="C76" s="3" t="s">
        <v>525</v>
      </c>
      <c r="D76" s="3"/>
      <c r="E76" s="4" t="str">
        <f t="shared" si="1"/>
        <v xml:space="preserve">76402 - CARBON 250 MG COMP - </v>
      </c>
    </row>
    <row r="77" spans="1:5" x14ac:dyDescent="0.25">
      <c r="A77" s="3">
        <v>607702</v>
      </c>
      <c r="B77" s="3">
        <v>200077</v>
      </c>
      <c r="C77" s="3" t="s">
        <v>526</v>
      </c>
      <c r="D77" s="3"/>
      <c r="E77" s="4" t="str">
        <f t="shared" si="1"/>
        <v xml:space="preserve">607702 - CARBONATO DE CALCIO 1250 MG COMP - </v>
      </c>
    </row>
    <row r="78" spans="1:5" x14ac:dyDescent="0.25">
      <c r="A78" s="3">
        <v>397202</v>
      </c>
      <c r="B78" s="3">
        <v>200471</v>
      </c>
      <c r="C78" s="3" t="s">
        <v>527</v>
      </c>
      <c r="D78" s="3"/>
      <c r="E78" s="4" t="str">
        <f t="shared" si="1"/>
        <v xml:space="preserve">397202 - CARBONATO DE SODIO + ASOC X 5 ML GOTAS OTICAS - </v>
      </c>
    </row>
    <row r="79" spans="1:5" x14ac:dyDescent="0.25">
      <c r="A79" s="3">
        <v>132802</v>
      </c>
      <c r="B79" s="3">
        <v>200086</v>
      </c>
      <c r="C79" s="3" t="s">
        <v>528</v>
      </c>
      <c r="D79" s="3"/>
      <c r="E79" s="4" t="str">
        <f t="shared" si="1"/>
        <v xml:space="preserve">132802 - CARVEDILOL 12.5 MG COMP - </v>
      </c>
    </row>
    <row r="80" spans="1:5" x14ac:dyDescent="0.25">
      <c r="A80" s="3">
        <v>132803</v>
      </c>
      <c r="B80" s="3">
        <v>200087</v>
      </c>
      <c r="C80" s="3" t="s">
        <v>529</v>
      </c>
      <c r="D80" s="3"/>
      <c r="E80" s="4" t="str">
        <f t="shared" si="1"/>
        <v xml:space="preserve">132803 - CARVEDILOL 6.25 MG COMP - </v>
      </c>
    </row>
    <row r="81" spans="1:5" x14ac:dyDescent="0.25">
      <c r="A81" s="3">
        <v>83401</v>
      </c>
      <c r="B81" s="3">
        <v>200091</v>
      </c>
      <c r="C81" s="3" t="s">
        <v>530</v>
      </c>
      <c r="D81" s="3"/>
      <c r="E81" s="4" t="str">
        <f t="shared" si="1"/>
        <v xml:space="preserve">83401 - CEFALEXINA 500 MG COMP - </v>
      </c>
    </row>
    <row r="82" spans="1:5" x14ac:dyDescent="0.25">
      <c r="A82" s="3">
        <v>83308</v>
      </c>
      <c r="B82" s="3">
        <v>200092</v>
      </c>
      <c r="C82" s="3" t="s">
        <v>531</v>
      </c>
      <c r="D82" s="3"/>
      <c r="E82" s="4" t="str">
        <f t="shared" si="1"/>
        <v xml:space="preserve">83308 - CEFALEXINA 500 MG/ 5 ML X 90 ML SUSP - </v>
      </c>
    </row>
    <row r="83" spans="1:5" x14ac:dyDescent="0.25">
      <c r="A83" s="3">
        <v>746903</v>
      </c>
      <c r="B83" s="3">
        <v>200094</v>
      </c>
      <c r="C83" s="3" t="s">
        <v>333</v>
      </c>
      <c r="D83" s="3"/>
      <c r="E83" s="4" t="str">
        <f t="shared" si="1"/>
        <v xml:space="preserve">746903 - CEFAZOLINA 1 GR FCO.AMP. - </v>
      </c>
    </row>
    <row r="84" spans="1:5" x14ac:dyDescent="0.25">
      <c r="A84" s="3">
        <v>1397203</v>
      </c>
      <c r="B84" s="3">
        <v>200095</v>
      </c>
      <c r="C84" s="3" t="s">
        <v>334</v>
      </c>
      <c r="D84" s="3"/>
      <c r="E84" s="4" t="str">
        <f t="shared" si="1"/>
        <v xml:space="preserve">1397203 - CEFEPIME 1 G FCO-AMP - </v>
      </c>
    </row>
    <row r="85" spans="1:5" x14ac:dyDescent="0.25">
      <c r="A85" s="3">
        <v>313202</v>
      </c>
      <c r="B85" s="3">
        <v>200097</v>
      </c>
      <c r="C85" s="3" t="s">
        <v>532</v>
      </c>
      <c r="D85" s="3"/>
      <c r="E85" s="4" t="str">
        <f t="shared" si="1"/>
        <v xml:space="preserve">313202 - CEFIXIMA 400 MG COMP - </v>
      </c>
    </row>
    <row r="86" spans="1:5" x14ac:dyDescent="0.25">
      <c r="A86" s="3">
        <v>695205</v>
      </c>
      <c r="B86" s="3">
        <v>200098</v>
      </c>
      <c r="C86" s="3" t="s">
        <v>335</v>
      </c>
      <c r="D86" s="3"/>
      <c r="E86" s="4" t="str">
        <f t="shared" si="1"/>
        <v xml:space="preserve">695205 - CEFTAZIDIMA 1000 MG FCO-AMP - </v>
      </c>
    </row>
    <row r="87" spans="1:5" x14ac:dyDescent="0.25">
      <c r="A87" s="3">
        <v>2716601</v>
      </c>
      <c r="B87" s="3">
        <v>55155</v>
      </c>
      <c r="C87" s="3" t="s">
        <v>533</v>
      </c>
      <c r="D87" s="3"/>
      <c r="E87" s="4" t="str">
        <f t="shared" si="1"/>
        <v xml:space="preserve">2716601 - CEFTAZIDIMA + AVIBACTAM (ZAVICEFTA) 2 G/0.5 G  - </v>
      </c>
    </row>
    <row r="88" spans="1:5" x14ac:dyDescent="0.25">
      <c r="A88" s="3">
        <v>695305</v>
      </c>
      <c r="B88" s="3">
        <v>200099</v>
      </c>
      <c r="C88" s="3" t="s">
        <v>336</v>
      </c>
      <c r="D88" s="3"/>
      <c r="E88" s="4" t="str">
        <f t="shared" si="1"/>
        <v xml:space="preserve">695305 - CEFTRIAXONA 1 G FCO-AMP - </v>
      </c>
    </row>
    <row r="89" spans="1:5" x14ac:dyDescent="0.25">
      <c r="A89" s="3">
        <v>1997301</v>
      </c>
      <c r="B89" s="3">
        <v>200103</v>
      </c>
      <c r="C89" s="3" t="s">
        <v>534</v>
      </c>
      <c r="D89" s="3"/>
      <c r="E89" s="4" t="str">
        <f t="shared" si="1"/>
        <v xml:space="preserve">1997301 - CILOSTAZOL 50 MG COMP - </v>
      </c>
    </row>
    <row r="90" spans="1:5" x14ac:dyDescent="0.25">
      <c r="A90" s="3">
        <v>503901</v>
      </c>
      <c r="B90" s="3">
        <v>200104</v>
      </c>
      <c r="C90" s="3" t="s">
        <v>337</v>
      </c>
      <c r="D90" s="3"/>
      <c r="E90" s="4" t="str">
        <f t="shared" si="1"/>
        <v xml:space="preserve">503901 - CIPROFLOXACINA 200 MG /100 ML AMP - </v>
      </c>
    </row>
    <row r="91" spans="1:5" x14ac:dyDescent="0.25">
      <c r="A91" s="3">
        <v>1012002</v>
      </c>
      <c r="B91" s="3">
        <v>200105</v>
      </c>
      <c r="C91" s="3" t="s">
        <v>535</v>
      </c>
      <c r="D91" s="3"/>
      <c r="E91" s="4" t="str">
        <f t="shared" si="1"/>
        <v xml:space="preserve">1012002 - CIPROFLOXACINA 500 MG COMP - </v>
      </c>
    </row>
    <row r="92" spans="1:5" x14ac:dyDescent="0.25">
      <c r="A92" s="3">
        <v>1318201</v>
      </c>
      <c r="B92" s="3">
        <v>200106</v>
      </c>
      <c r="C92" s="3" t="s">
        <v>536</v>
      </c>
      <c r="D92" s="3"/>
      <c r="E92" s="4" t="str">
        <f t="shared" si="1"/>
        <v xml:space="preserve">1318201 - CITALOPRAM 20 MG COMP - </v>
      </c>
    </row>
    <row r="93" spans="1:5" x14ac:dyDescent="0.25">
      <c r="A93" s="3">
        <v>2028102</v>
      </c>
      <c r="B93" s="3">
        <v>200107</v>
      </c>
      <c r="C93" s="3" t="s">
        <v>537</v>
      </c>
      <c r="D93" s="3"/>
      <c r="E93" s="4" t="str">
        <f t="shared" si="1"/>
        <v xml:space="preserve">2028102 - CITICOLINA 500 MG COMP - </v>
      </c>
    </row>
    <row r="94" spans="1:5" x14ac:dyDescent="0.25">
      <c r="A94" s="3">
        <v>1065004</v>
      </c>
      <c r="B94" s="3">
        <v>200108</v>
      </c>
      <c r="C94" s="3" t="s">
        <v>538</v>
      </c>
      <c r="D94" s="3"/>
      <c r="E94" s="4" t="str">
        <f t="shared" si="1"/>
        <v xml:space="preserve">1065004 - CLARITROMICINA 250 MG/ 5 ML X 60 ML SUSP - </v>
      </c>
    </row>
    <row r="95" spans="1:5" x14ac:dyDescent="0.25">
      <c r="A95" s="3">
        <v>1065007</v>
      </c>
      <c r="B95" s="3">
        <v>200109</v>
      </c>
      <c r="C95" s="3" t="s">
        <v>539</v>
      </c>
      <c r="D95" s="3"/>
      <c r="E95" s="4" t="str">
        <f t="shared" si="1"/>
        <v xml:space="preserve">1065007 - CLARITROMICINA 500 MG COMP - </v>
      </c>
    </row>
    <row r="96" spans="1:5" x14ac:dyDescent="0.25">
      <c r="A96" s="3">
        <v>1104505</v>
      </c>
      <c r="B96" s="3">
        <v>200110</v>
      </c>
      <c r="C96" s="3" t="s">
        <v>338</v>
      </c>
      <c r="D96" s="3"/>
      <c r="E96" s="4" t="str">
        <f t="shared" si="1"/>
        <v xml:space="preserve">1104505 - CLARITROMICINA 500 MG FCO-AMP - </v>
      </c>
    </row>
    <row r="97" spans="1:5" x14ac:dyDescent="0.25">
      <c r="A97" s="3">
        <v>979201</v>
      </c>
      <c r="B97" s="3">
        <v>200111</v>
      </c>
      <c r="C97" s="3" t="s">
        <v>540</v>
      </c>
      <c r="D97" s="3"/>
      <c r="E97" s="4" t="str">
        <f t="shared" si="1"/>
        <v xml:space="preserve">979201 - CLINDAMICINA 300 MG CAP - </v>
      </c>
    </row>
    <row r="98" spans="1:5" x14ac:dyDescent="0.25">
      <c r="A98" s="3">
        <v>2056101</v>
      </c>
      <c r="B98" s="3">
        <v>200112</v>
      </c>
      <c r="C98" s="3" t="s">
        <v>339</v>
      </c>
      <c r="D98" s="3"/>
      <c r="E98" s="4" t="str">
        <f t="shared" si="1"/>
        <v xml:space="preserve">2056101 - CLINDAMICINA 600 MG AMP - </v>
      </c>
    </row>
    <row r="99" spans="1:5" x14ac:dyDescent="0.25">
      <c r="A99" s="3">
        <v>237403</v>
      </c>
      <c r="B99" s="3">
        <v>200543</v>
      </c>
      <c r="C99" s="3" t="s">
        <v>541</v>
      </c>
      <c r="D99" s="3"/>
      <c r="E99" s="4" t="str">
        <f t="shared" si="1"/>
        <v xml:space="preserve">237403 - CLOBAZAM 10 MG COMPRIMIDO - </v>
      </c>
    </row>
    <row r="100" spans="1:5" x14ac:dyDescent="0.25">
      <c r="A100" s="3">
        <v>1457602</v>
      </c>
      <c r="B100" s="3">
        <v>200113</v>
      </c>
      <c r="C100" s="3" t="s">
        <v>542</v>
      </c>
      <c r="D100" s="3"/>
      <c r="E100" s="4" t="str">
        <f t="shared" si="1"/>
        <v xml:space="preserve">1457602 - CLONAZEPAM 0,25 MG COMP SL - </v>
      </c>
    </row>
    <row r="101" spans="1:5" x14ac:dyDescent="0.25">
      <c r="A101" s="3">
        <v>1221801</v>
      </c>
      <c r="B101" s="3">
        <v>200114</v>
      </c>
      <c r="C101" s="3" t="s">
        <v>543</v>
      </c>
      <c r="D101" s="3"/>
      <c r="E101" s="4" t="str">
        <f t="shared" si="1"/>
        <v xml:space="preserve">1221801 - CLONAZEPAM 0,5 MG COMP - </v>
      </c>
    </row>
    <row r="102" spans="1:5" x14ac:dyDescent="0.25">
      <c r="A102" s="3">
        <v>378609</v>
      </c>
      <c r="B102" s="3">
        <v>200115</v>
      </c>
      <c r="C102" s="3" t="s">
        <v>544</v>
      </c>
      <c r="D102" s="3"/>
      <c r="E102" s="4" t="str">
        <f t="shared" si="1"/>
        <v xml:space="preserve">378609 - CLONAZEPAM 2 MG COMP - </v>
      </c>
    </row>
    <row r="103" spans="1:5" x14ac:dyDescent="0.25">
      <c r="A103" s="3">
        <v>2491401</v>
      </c>
      <c r="B103" s="3">
        <v>200580</v>
      </c>
      <c r="C103" s="3" t="s">
        <v>545</v>
      </c>
      <c r="D103" s="3"/>
      <c r="E103" s="4" t="str">
        <f t="shared" si="1"/>
        <v xml:space="preserve">2491401 - CLONAZEPAM 2.5 MG / ML GOTAS X 20 ML - </v>
      </c>
    </row>
    <row r="104" spans="1:5" x14ac:dyDescent="0.25">
      <c r="A104" s="3">
        <v>1391001</v>
      </c>
      <c r="B104" s="3">
        <v>200116</v>
      </c>
      <c r="C104" s="3" t="s">
        <v>340</v>
      </c>
      <c r="D104" s="3"/>
      <c r="E104" s="4" t="str">
        <f t="shared" si="1"/>
        <v xml:space="preserve">1391001 - CLONIDINA 0.150 MG/ML AMPOLLA - </v>
      </c>
    </row>
    <row r="105" spans="1:5" x14ac:dyDescent="0.25">
      <c r="A105" s="3">
        <v>140405</v>
      </c>
      <c r="B105" s="3">
        <v>200315</v>
      </c>
      <c r="C105" s="3" t="s">
        <v>546</v>
      </c>
      <c r="D105" s="3"/>
      <c r="E105" s="4" t="str">
        <f t="shared" si="1"/>
        <v xml:space="preserve">140405 - CLONIXINATO DE LISINA 125 MG COMP - </v>
      </c>
    </row>
    <row r="106" spans="1:5" x14ac:dyDescent="0.25">
      <c r="A106" s="3">
        <v>991603</v>
      </c>
      <c r="B106" s="3">
        <v>200316</v>
      </c>
      <c r="C106" s="3" t="s">
        <v>341</v>
      </c>
      <c r="D106" s="3"/>
      <c r="E106" s="4" t="str">
        <f t="shared" si="1"/>
        <v xml:space="preserve">991603 - CLONIXINATO DE LISINA 200 MG/4ML AMPOLLA - </v>
      </c>
    </row>
    <row r="107" spans="1:5" x14ac:dyDescent="0.25">
      <c r="A107" s="3">
        <v>1573004</v>
      </c>
      <c r="B107" s="3">
        <v>200118</v>
      </c>
      <c r="C107" s="3" t="s">
        <v>547</v>
      </c>
      <c r="D107" s="3"/>
      <c r="E107" s="4" t="str">
        <f t="shared" si="1"/>
        <v xml:space="preserve">1573004 - CLOPIDOGREL 75 MG COMP - </v>
      </c>
    </row>
    <row r="108" spans="1:5" x14ac:dyDescent="0.25">
      <c r="A108" s="3">
        <v>2537201</v>
      </c>
      <c r="B108" s="3">
        <v>200119</v>
      </c>
      <c r="C108" s="3" t="s">
        <v>548</v>
      </c>
      <c r="D108" s="3"/>
      <c r="E108" s="4" t="str">
        <f t="shared" si="1"/>
        <v xml:space="preserve">2537201 - DOLUTEGRAVIR 50 MG - </v>
      </c>
    </row>
    <row r="109" spans="1:5" x14ac:dyDescent="0.25">
      <c r="A109" s="3">
        <v>574102</v>
      </c>
      <c r="B109" s="3">
        <v>200120</v>
      </c>
      <c r="C109" s="3" t="s">
        <v>342</v>
      </c>
      <c r="D109" s="3"/>
      <c r="E109" s="4" t="str">
        <f t="shared" si="1"/>
        <v xml:space="preserve">574102 - CLORANFENICOL 1 G FCO-AMP - </v>
      </c>
    </row>
    <row r="110" spans="1:5" x14ac:dyDescent="0.25">
      <c r="A110" s="3">
        <v>808301</v>
      </c>
      <c r="B110" s="3">
        <v>200122</v>
      </c>
      <c r="C110" s="3" t="s">
        <v>549</v>
      </c>
      <c r="D110" s="3"/>
      <c r="E110" s="4" t="str">
        <f t="shared" si="1"/>
        <v xml:space="preserve">808301 - CLORHEXIDINA DIGLUCONATO X 200 ML COLUTORIO - </v>
      </c>
    </row>
    <row r="111" spans="1:5" x14ac:dyDescent="0.25">
      <c r="A111" s="3">
        <v>7100369</v>
      </c>
      <c r="B111" s="3">
        <v>380008</v>
      </c>
      <c r="C111" s="3" t="s">
        <v>550</v>
      </c>
      <c r="D111" s="3"/>
      <c r="E111" s="4" t="str">
        <f t="shared" si="1"/>
        <v xml:space="preserve">7100369 - CLORHEXIDINA 2% HIDROALCOHOLICA SPRAY X 120 ML - </v>
      </c>
    </row>
    <row r="112" spans="1:5" x14ac:dyDescent="0.25">
      <c r="A112" s="3">
        <v>1325704</v>
      </c>
      <c r="B112" s="3">
        <v>200121</v>
      </c>
      <c r="C112" s="3" t="s">
        <v>551</v>
      </c>
      <c r="D112" s="3"/>
      <c r="E112" s="4" t="str">
        <f t="shared" si="1"/>
        <v xml:space="preserve">1325704 - CLORHEXIDINA 4% SN JABONOSA X 500 ML - </v>
      </c>
    </row>
    <row r="113" spans="1:5" x14ac:dyDescent="0.25">
      <c r="A113" s="3">
        <v>2672901</v>
      </c>
      <c r="B113" s="3">
        <v>200335</v>
      </c>
      <c r="C113" s="3" t="s">
        <v>552</v>
      </c>
      <c r="D113" s="3"/>
      <c r="E113" s="4" t="str">
        <f t="shared" si="1"/>
        <v xml:space="preserve">2672901 - CLORHIDRATO DE MEMANTINA 10 MG - </v>
      </c>
    </row>
    <row r="114" spans="1:5" x14ac:dyDescent="0.25">
      <c r="A114" s="3">
        <v>789003</v>
      </c>
      <c r="B114" s="3">
        <v>200123</v>
      </c>
      <c r="C114" s="3" t="s">
        <v>343</v>
      </c>
      <c r="D114" s="3"/>
      <c r="E114" s="4" t="str">
        <f t="shared" si="1"/>
        <v xml:space="preserve">789003 - CLORPROMAZINA 25 MG AMP IM - </v>
      </c>
    </row>
    <row r="115" spans="1:5" x14ac:dyDescent="0.25">
      <c r="A115" s="3">
        <v>789004</v>
      </c>
      <c r="B115" s="3">
        <v>200124</v>
      </c>
      <c r="C115" s="3" t="s">
        <v>344</v>
      </c>
      <c r="D115" s="3"/>
      <c r="E115" s="4" t="str">
        <f t="shared" si="1"/>
        <v xml:space="preserve">789004 - CLORPROMAZINA 50 MG  AMP EV - </v>
      </c>
    </row>
    <row r="116" spans="1:5" x14ac:dyDescent="0.25">
      <c r="A116" s="3">
        <v>96303</v>
      </c>
      <c r="B116" s="3">
        <v>200078</v>
      </c>
      <c r="C116" s="3" t="s">
        <v>345</v>
      </c>
      <c r="D116" s="3"/>
      <c r="E116" s="4" t="str">
        <f t="shared" si="1"/>
        <v xml:space="preserve">96303 - CLORURO DE CALCIO 10% X 10 ML AMP - </v>
      </c>
    </row>
    <row r="117" spans="1:5" x14ac:dyDescent="0.25">
      <c r="A117" s="3">
        <v>96507</v>
      </c>
      <c r="B117" s="3">
        <v>200420</v>
      </c>
      <c r="C117" s="3" t="s">
        <v>346</v>
      </c>
      <c r="D117" s="3"/>
      <c r="E117" s="4" t="str">
        <f t="shared" si="1"/>
        <v xml:space="preserve">96507 - CLORURO DE POTASIO 15 mEq/5ML AMP - </v>
      </c>
    </row>
    <row r="118" spans="1:5" x14ac:dyDescent="0.25">
      <c r="A118" s="3">
        <v>102903</v>
      </c>
      <c r="B118" s="3">
        <v>200421</v>
      </c>
      <c r="C118" s="3" t="s">
        <v>553</v>
      </c>
      <c r="D118" s="3"/>
      <c r="E118" s="4" t="str">
        <f t="shared" si="1"/>
        <v xml:space="preserve">102903 - CLORURO DE POTASIO 600 MG CAP - </v>
      </c>
    </row>
    <row r="119" spans="1:5" x14ac:dyDescent="0.25">
      <c r="A119" s="3">
        <v>97002</v>
      </c>
      <c r="B119" s="3">
        <v>200472</v>
      </c>
      <c r="C119" s="3" t="s">
        <v>554</v>
      </c>
      <c r="D119" s="3"/>
      <c r="E119" s="4" t="str">
        <f t="shared" si="1"/>
        <v xml:space="preserve">97002 - CLORURO DE SODIO AL 20% X 10 ML - </v>
      </c>
    </row>
    <row r="120" spans="1:5" x14ac:dyDescent="0.25">
      <c r="A120" s="3">
        <v>2652401</v>
      </c>
      <c r="B120" s="3">
        <v>200125</v>
      </c>
      <c r="C120" s="3" t="s">
        <v>555</v>
      </c>
      <c r="D120" s="3"/>
      <c r="E120" s="4" t="str">
        <f t="shared" si="1"/>
        <v xml:space="preserve">2652401 - CLOTRIMAZOL 1% X 20 G CR - </v>
      </c>
    </row>
    <row r="121" spans="1:5" x14ac:dyDescent="0.25">
      <c r="A121" s="3">
        <v>98701</v>
      </c>
      <c r="B121" s="3">
        <v>200126</v>
      </c>
      <c r="C121" s="3" t="s">
        <v>556</v>
      </c>
      <c r="D121" s="3"/>
      <c r="E121" s="4" t="str">
        <f t="shared" si="1"/>
        <v xml:space="preserve">98701 - CODEINA + ASOC X 100 ML JBE - </v>
      </c>
    </row>
    <row r="122" spans="1:5" x14ac:dyDescent="0.25">
      <c r="A122" s="3">
        <v>2390801</v>
      </c>
      <c r="B122" s="3">
        <v>200128</v>
      </c>
      <c r="C122" s="3" t="s">
        <v>557</v>
      </c>
      <c r="D122" s="3"/>
      <c r="E122" s="4" t="str">
        <f t="shared" si="1"/>
        <v xml:space="preserve">2390801 - CODEINA 60 MG + PARACETAMOL 300 MG COMP - </v>
      </c>
    </row>
    <row r="123" spans="1:5" x14ac:dyDescent="0.25">
      <c r="A123" s="3">
        <v>231202</v>
      </c>
      <c r="B123" s="3">
        <v>200129</v>
      </c>
      <c r="C123" s="3" t="s">
        <v>558</v>
      </c>
      <c r="D123" s="3"/>
      <c r="E123" s="4" t="str">
        <f t="shared" si="1"/>
        <v xml:space="preserve">231202 - COLAGENASA + CLORANFENICOL X 30 G UNG - </v>
      </c>
    </row>
    <row r="124" spans="1:5" x14ac:dyDescent="0.25">
      <c r="A124" s="3">
        <v>2869501</v>
      </c>
      <c r="B124" s="3">
        <v>200130</v>
      </c>
      <c r="C124" s="3" t="s">
        <v>559</v>
      </c>
      <c r="D124" s="3"/>
      <c r="E124" s="4" t="str">
        <f t="shared" si="1"/>
        <v xml:space="preserve">2869501 - COLESTIRAMINA POLVO SOBRE - </v>
      </c>
    </row>
    <row r="125" spans="1:5" x14ac:dyDescent="0.25">
      <c r="A125" s="3">
        <v>1824201</v>
      </c>
      <c r="B125" s="3">
        <v>200131</v>
      </c>
      <c r="C125" s="3" t="s">
        <v>347</v>
      </c>
      <c r="D125" s="3"/>
      <c r="E125" s="4" t="str">
        <f t="shared" si="1"/>
        <v xml:space="preserve">1824201 - COLISTINA 100 MG FCO-AMP - </v>
      </c>
    </row>
    <row r="126" spans="1:5" x14ac:dyDescent="0.25">
      <c r="A126" s="3">
        <v>47305</v>
      </c>
      <c r="B126" s="3">
        <v>200132</v>
      </c>
      <c r="C126" s="3" t="s">
        <v>560</v>
      </c>
      <c r="D126" s="3"/>
      <c r="E126" s="4" t="str">
        <f t="shared" si="1"/>
        <v xml:space="preserve">47305 - COMPLEJO B COMP - </v>
      </c>
    </row>
    <row r="127" spans="1:5" x14ac:dyDescent="0.25">
      <c r="A127" s="3">
        <v>47302</v>
      </c>
      <c r="B127" s="3">
        <v>200133</v>
      </c>
      <c r="C127" s="3" t="s">
        <v>348</v>
      </c>
      <c r="D127" s="3"/>
      <c r="E127" s="4" t="str">
        <f t="shared" si="1"/>
        <v xml:space="preserve">47302 - COMPLEJO B IM AMP ( BAGO B1 B6 B12) - </v>
      </c>
    </row>
    <row r="128" spans="1:5" x14ac:dyDescent="0.25">
      <c r="A128" s="3">
        <v>1187701</v>
      </c>
      <c r="B128" s="3">
        <v>200134</v>
      </c>
      <c r="C128" s="3" t="s">
        <v>349</v>
      </c>
      <c r="D128" s="3"/>
      <c r="E128" s="4" t="str">
        <f t="shared" si="1"/>
        <v xml:space="preserve">1187701 - COMPLEJO B IV AMP (BECOZYM) - </v>
      </c>
    </row>
    <row r="129" spans="1:5" x14ac:dyDescent="0.25">
      <c r="A129" s="3">
        <v>581001</v>
      </c>
      <c r="B129" s="3">
        <v>200135</v>
      </c>
      <c r="C129" s="3" t="s">
        <v>350</v>
      </c>
      <c r="D129" s="3"/>
      <c r="E129" s="4" t="str">
        <f t="shared" si="1"/>
        <v xml:space="preserve">581001 - COMPLEJO MULTIV FCO-AMP - </v>
      </c>
    </row>
    <row r="130" spans="1:5" x14ac:dyDescent="0.25">
      <c r="A130" s="3">
        <v>2785201</v>
      </c>
      <c r="B130" s="3">
        <v>500060</v>
      </c>
      <c r="C130" s="3" t="s">
        <v>351</v>
      </c>
      <c r="D130" s="3"/>
      <c r="E130" s="4" t="str">
        <f t="shared" si="1"/>
        <v xml:space="preserve">2785201 - DAPTOMICINA 500 MG AMPOLLAS - </v>
      </c>
    </row>
    <row r="131" spans="1:5" x14ac:dyDescent="0.25">
      <c r="A131" s="3">
        <v>2911101</v>
      </c>
      <c r="B131" s="3">
        <v>200136</v>
      </c>
      <c r="C131" s="3" t="s">
        <v>352</v>
      </c>
      <c r="D131" s="3"/>
      <c r="E131" s="4" t="str">
        <f t="shared" ref="E131:E194" si="2">_xlfn.CONCAT(A131, " - ",C131, " - ",D131)</f>
        <v xml:space="preserve">2911101 - DANTROLENE FCO-AMP - </v>
      </c>
    </row>
    <row r="132" spans="1:5" x14ac:dyDescent="0.25">
      <c r="A132" s="3">
        <v>124005</v>
      </c>
      <c r="B132" s="3">
        <v>200137</v>
      </c>
      <c r="C132" s="3" t="s">
        <v>353</v>
      </c>
      <c r="D132" s="3"/>
      <c r="E132" s="4" t="str">
        <f t="shared" si="2"/>
        <v xml:space="preserve">124005 - DESMOPRESINA 4 MCG AMP - </v>
      </c>
    </row>
    <row r="133" spans="1:5" x14ac:dyDescent="0.25">
      <c r="A133" s="3">
        <v>1991001</v>
      </c>
      <c r="B133" s="3">
        <v>200138</v>
      </c>
      <c r="C133" s="3" t="s">
        <v>561</v>
      </c>
      <c r="D133" s="3"/>
      <c r="E133" s="4" t="str">
        <f t="shared" si="2"/>
        <v xml:space="preserve">1991001 - DEXAMETASONA 4 MG COMP - </v>
      </c>
    </row>
    <row r="134" spans="1:5" x14ac:dyDescent="0.25">
      <c r="A134" s="3">
        <v>447901</v>
      </c>
      <c r="B134" s="3">
        <v>200139</v>
      </c>
      <c r="C134" s="3" t="s">
        <v>354</v>
      </c>
      <c r="D134" s="3"/>
      <c r="E134" s="4" t="str">
        <f t="shared" si="2"/>
        <v xml:space="preserve">447901 - DEXAMETASONA 8 MG/2ML AMP - </v>
      </c>
    </row>
    <row r="135" spans="1:5" x14ac:dyDescent="0.25">
      <c r="A135" s="3">
        <v>2547501</v>
      </c>
      <c r="B135" s="3">
        <v>200140</v>
      </c>
      <c r="C135" s="3" t="s">
        <v>355</v>
      </c>
      <c r="D135" s="3"/>
      <c r="E135" s="4" t="str">
        <f t="shared" si="2"/>
        <v xml:space="preserve">2547501 - DEXMEDETOMIDINA 100 MCG FCO-AMP - </v>
      </c>
    </row>
    <row r="136" spans="1:5" x14ac:dyDescent="0.25">
      <c r="A136" s="3">
        <v>129604</v>
      </c>
      <c r="B136" s="3">
        <v>200141</v>
      </c>
      <c r="C136" s="3" t="s">
        <v>356</v>
      </c>
      <c r="D136" s="3"/>
      <c r="E136" s="4" t="str">
        <f t="shared" si="2"/>
        <v xml:space="preserve">129604 - DIAZEPAM 10 MG AMP - </v>
      </c>
    </row>
    <row r="137" spans="1:5" x14ac:dyDescent="0.25">
      <c r="A137" s="3">
        <v>1010501</v>
      </c>
      <c r="B137" s="3">
        <v>200143</v>
      </c>
      <c r="C137" s="3" t="s">
        <v>562</v>
      </c>
      <c r="D137" s="3"/>
      <c r="E137" s="4" t="str">
        <f t="shared" si="2"/>
        <v xml:space="preserve">1010501 - DIAZEPAM 5 MG COMP - </v>
      </c>
    </row>
    <row r="138" spans="1:5" x14ac:dyDescent="0.25">
      <c r="A138" s="3">
        <v>1749805</v>
      </c>
      <c r="B138" s="3"/>
      <c r="C138" s="3" t="s">
        <v>563</v>
      </c>
      <c r="D138" s="3"/>
      <c r="E138" s="4" t="str">
        <f t="shared" si="2"/>
        <v xml:space="preserve">1749805 - DIASIP - </v>
      </c>
    </row>
    <row r="139" spans="1:5" x14ac:dyDescent="0.25">
      <c r="A139" s="3">
        <v>1086402</v>
      </c>
      <c r="B139" s="3">
        <v>200145</v>
      </c>
      <c r="C139" s="3" t="s">
        <v>357</v>
      </c>
      <c r="D139" s="3"/>
      <c r="E139" s="4" t="str">
        <f t="shared" si="2"/>
        <v xml:space="preserve">1086402 - DICLO + BETAM + VIT B12 AMP - </v>
      </c>
    </row>
    <row r="140" spans="1:5" x14ac:dyDescent="0.25">
      <c r="A140" s="3">
        <v>1054305</v>
      </c>
      <c r="B140" s="3">
        <v>200147</v>
      </c>
      <c r="C140" s="3" t="s">
        <v>358</v>
      </c>
      <c r="D140" s="3"/>
      <c r="E140" s="4" t="str">
        <f t="shared" si="2"/>
        <v xml:space="preserve">1054305 - DICLOFENAC + PIRIDINOL AMP - </v>
      </c>
    </row>
    <row r="141" spans="1:5" x14ac:dyDescent="0.25">
      <c r="A141" s="3">
        <v>835801</v>
      </c>
      <c r="B141" s="3">
        <v>200146</v>
      </c>
      <c r="C141" s="3" t="s">
        <v>564</v>
      </c>
      <c r="D141" s="3"/>
      <c r="E141" s="4" t="str">
        <f t="shared" si="2"/>
        <v xml:space="preserve">835801 - DICLOFENAC 50 MG + MISOPROSTOL COMP - </v>
      </c>
    </row>
    <row r="142" spans="1:5" x14ac:dyDescent="0.25">
      <c r="A142" s="3">
        <v>598907</v>
      </c>
      <c r="B142" s="3">
        <v>200149</v>
      </c>
      <c r="C142" s="3" t="s">
        <v>565</v>
      </c>
      <c r="D142" s="3"/>
      <c r="E142" s="4" t="str">
        <f t="shared" si="2"/>
        <v xml:space="preserve">598907 - DICLOFENAC 50 MG COMP - </v>
      </c>
    </row>
    <row r="143" spans="1:5" x14ac:dyDescent="0.25">
      <c r="A143" s="3">
        <v>852606</v>
      </c>
      <c r="B143" s="3">
        <v>200150</v>
      </c>
      <c r="C143" s="3" t="s">
        <v>359</v>
      </c>
      <c r="D143" s="3"/>
      <c r="E143" s="4" t="str">
        <f t="shared" si="2"/>
        <v xml:space="preserve">852606 - DICLOFENAC 75 MG  AMP - </v>
      </c>
    </row>
    <row r="144" spans="1:5" x14ac:dyDescent="0.25">
      <c r="A144" s="3">
        <v>852603</v>
      </c>
      <c r="B144" s="3">
        <v>200144</v>
      </c>
      <c r="C144" s="3" t="s">
        <v>566</v>
      </c>
      <c r="D144" s="3"/>
      <c r="E144" s="4" t="str">
        <f t="shared" si="2"/>
        <v xml:space="preserve">852603 - DICLOFENAC X 50 G GEL - </v>
      </c>
    </row>
    <row r="145" spans="1:5" x14ac:dyDescent="0.25">
      <c r="A145" s="3">
        <v>1252602</v>
      </c>
      <c r="B145" s="3">
        <v>200153</v>
      </c>
      <c r="C145" s="3" t="s">
        <v>360</v>
      </c>
      <c r="D145" s="3"/>
      <c r="E145" s="4" t="str">
        <f t="shared" si="2"/>
        <v xml:space="preserve">1252602 - DIFENHIDRAMINA 10 MG/ML AMPOLLA   - </v>
      </c>
    </row>
    <row r="146" spans="1:5" x14ac:dyDescent="0.25">
      <c r="A146" s="3">
        <v>1252602</v>
      </c>
      <c r="B146" s="3">
        <v>200152</v>
      </c>
      <c r="C146" s="3" t="s">
        <v>361</v>
      </c>
      <c r="D146" s="3"/>
      <c r="E146" s="4" t="str">
        <f t="shared" si="2"/>
        <v xml:space="preserve">1252602 - DIFENHIDRAMINA 100 MG/10 ML FCO-AMP - </v>
      </c>
    </row>
    <row r="147" spans="1:5" x14ac:dyDescent="0.25">
      <c r="A147" s="3">
        <v>932104</v>
      </c>
      <c r="B147" s="3">
        <v>200154</v>
      </c>
      <c r="C147" s="3" t="s">
        <v>567</v>
      </c>
      <c r="D147" s="3"/>
      <c r="E147" s="4" t="str">
        <f t="shared" si="2"/>
        <v xml:space="preserve">932104 - DIFENHIDRAMINA 12,5 MG/5 ML X 120 ML JARABE - </v>
      </c>
    </row>
    <row r="148" spans="1:5" x14ac:dyDescent="0.25">
      <c r="A148" s="3">
        <v>932108</v>
      </c>
      <c r="B148" s="3">
        <v>200155</v>
      </c>
      <c r="C148" s="3" t="s">
        <v>568</v>
      </c>
      <c r="D148" s="3"/>
      <c r="E148" s="4" t="str">
        <f t="shared" si="2"/>
        <v xml:space="preserve">932108 - DIFENHIDRAMINA 50 MG COMP - </v>
      </c>
    </row>
    <row r="149" spans="1:5" x14ac:dyDescent="0.25">
      <c r="A149" s="3">
        <v>244901</v>
      </c>
      <c r="B149" s="3">
        <v>200156</v>
      </c>
      <c r="C149" s="3" t="s">
        <v>569</v>
      </c>
      <c r="D149" s="3"/>
      <c r="E149" s="4" t="str">
        <f t="shared" si="2"/>
        <v xml:space="preserve">244901 - DIGOXINA 0.25 MG COMP - </v>
      </c>
    </row>
    <row r="150" spans="1:5" x14ac:dyDescent="0.25">
      <c r="A150" s="3">
        <v>1098401</v>
      </c>
      <c r="B150" s="3">
        <v>200157</v>
      </c>
      <c r="C150" s="3" t="s">
        <v>362</v>
      </c>
      <c r="D150" s="3"/>
      <c r="E150" s="4" t="str">
        <f t="shared" si="2"/>
        <v xml:space="preserve">1098401 - DIGOXINA 0.25 MG/ML AMP - </v>
      </c>
    </row>
    <row r="151" spans="1:5" x14ac:dyDescent="0.25">
      <c r="A151" s="3">
        <v>1101</v>
      </c>
      <c r="B151" s="3">
        <v>200158</v>
      </c>
      <c r="C151" s="3" t="s">
        <v>363</v>
      </c>
      <c r="D151" s="3"/>
      <c r="E151" s="4" t="str">
        <f t="shared" si="2"/>
        <v xml:space="preserve">1101 - DILTIAZEM 25 MG FCO-AMP - </v>
      </c>
    </row>
    <row r="152" spans="1:5" x14ac:dyDescent="0.25">
      <c r="A152" s="3">
        <v>224301</v>
      </c>
      <c r="B152" s="3">
        <v>200159</v>
      </c>
      <c r="C152" s="3" t="s">
        <v>570</v>
      </c>
      <c r="D152" s="3"/>
      <c r="E152" s="4" t="str">
        <f t="shared" si="2"/>
        <v xml:space="preserve">224301 - DILTIAZEM 60 MG COMP - </v>
      </c>
    </row>
    <row r="153" spans="1:5" x14ac:dyDescent="0.25">
      <c r="A153" s="3">
        <v>1861602</v>
      </c>
      <c r="B153" s="3">
        <v>200160</v>
      </c>
      <c r="C153" s="3" t="s">
        <v>571</v>
      </c>
      <c r="D153" s="3"/>
      <c r="E153" s="4" t="str">
        <f t="shared" si="2"/>
        <v xml:space="preserve">1861602 - DIMENHIDRINATO 50 MG  COMP - </v>
      </c>
    </row>
    <row r="154" spans="1:5" x14ac:dyDescent="0.25">
      <c r="A154" s="3">
        <v>135510</v>
      </c>
      <c r="B154" s="3">
        <v>200162</v>
      </c>
      <c r="C154" s="3" t="s">
        <v>364</v>
      </c>
      <c r="D154" s="3"/>
      <c r="E154" s="4" t="str">
        <f t="shared" si="2"/>
        <v xml:space="preserve">135510 - DIPIRONA 1 G/2ML  AMPOLLA - </v>
      </c>
    </row>
    <row r="155" spans="1:5" x14ac:dyDescent="0.25">
      <c r="A155" s="3">
        <v>313401</v>
      </c>
      <c r="B155" s="3">
        <v>200165</v>
      </c>
      <c r="C155" s="3" t="s">
        <v>572</v>
      </c>
      <c r="D155" s="3"/>
      <c r="E155" s="4" t="str">
        <f t="shared" si="2"/>
        <v xml:space="preserve">313401 - DIPIRONA 500 MG COMP - </v>
      </c>
    </row>
    <row r="156" spans="1:5" x14ac:dyDescent="0.25">
      <c r="A156" s="3">
        <v>313406</v>
      </c>
      <c r="B156" s="3">
        <v>200163</v>
      </c>
      <c r="C156" s="3" t="s">
        <v>573</v>
      </c>
      <c r="D156" s="3"/>
      <c r="E156" s="4" t="str">
        <f t="shared" si="2"/>
        <v xml:space="preserve">313406 - DIPIRONA X 200 ML  JARABE - </v>
      </c>
    </row>
    <row r="157" spans="1:5" x14ac:dyDescent="0.25">
      <c r="A157" s="3">
        <v>1025301</v>
      </c>
      <c r="B157" s="3">
        <v>200474</v>
      </c>
      <c r="C157" s="3" t="s">
        <v>574</v>
      </c>
      <c r="D157" s="3"/>
      <c r="E157" s="4" t="str">
        <f t="shared" si="2"/>
        <v xml:space="preserve">1025301 - DIVALPROATO DE SODIO 250 MG COMP - </v>
      </c>
    </row>
    <row r="158" spans="1:5" x14ac:dyDescent="0.25">
      <c r="A158" s="3">
        <v>1125402</v>
      </c>
      <c r="B158" s="3">
        <v>200166</v>
      </c>
      <c r="C158" s="3" t="s">
        <v>365</v>
      </c>
      <c r="D158" s="3"/>
      <c r="E158" s="4" t="str">
        <f t="shared" si="2"/>
        <v xml:space="preserve">1125402 - DOBUTAMINA 250 MG FCO-AMP - </v>
      </c>
    </row>
    <row r="159" spans="1:5" x14ac:dyDescent="0.25">
      <c r="A159" s="3">
        <v>2537201</v>
      </c>
      <c r="B159" s="3">
        <v>200600</v>
      </c>
      <c r="C159" s="3" t="s">
        <v>548</v>
      </c>
      <c r="D159" s="3" t="s">
        <v>575</v>
      </c>
      <c r="E159" s="4" t="str">
        <f t="shared" si="2"/>
        <v>2537201 - DOLUTEGRAVIR 50 MG - tivicay</v>
      </c>
    </row>
    <row r="160" spans="1:5" x14ac:dyDescent="0.25">
      <c r="A160" s="3">
        <v>286504</v>
      </c>
      <c r="B160" s="3">
        <v>200168</v>
      </c>
      <c r="C160" s="3" t="s">
        <v>576</v>
      </c>
      <c r="D160" s="3"/>
      <c r="E160" s="4" t="str">
        <f t="shared" si="2"/>
        <v xml:space="preserve">286504 - DOMPERIDONA 10 MG COMP - </v>
      </c>
    </row>
    <row r="161" spans="1:5" x14ac:dyDescent="0.25">
      <c r="A161" s="3">
        <v>147302</v>
      </c>
      <c r="B161" s="3">
        <v>200167</v>
      </c>
      <c r="C161" s="3" t="s">
        <v>577</v>
      </c>
      <c r="D161" s="3"/>
      <c r="E161" s="4" t="str">
        <f t="shared" si="2"/>
        <v xml:space="preserve">147302 - DOMPERIDONA X 20 ML GOTAS - </v>
      </c>
    </row>
    <row r="162" spans="1:5" x14ac:dyDescent="0.25">
      <c r="A162" s="3">
        <v>270904</v>
      </c>
      <c r="B162" s="3">
        <v>200557</v>
      </c>
      <c r="C162" s="3" t="s">
        <v>366</v>
      </c>
      <c r="D162" s="3"/>
      <c r="E162" s="4" t="str">
        <f t="shared" si="2"/>
        <v xml:space="preserve">270904 - DOPAMINA 200 MG/ML X 5 ML AMP - </v>
      </c>
    </row>
    <row r="163" spans="1:5" x14ac:dyDescent="0.25">
      <c r="A163" s="3">
        <v>747005</v>
      </c>
      <c r="B163" s="3">
        <v>200170</v>
      </c>
      <c r="C163" s="3" t="s">
        <v>578</v>
      </c>
      <c r="D163" s="3"/>
      <c r="E163" s="4" t="str">
        <f t="shared" si="2"/>
        <v xml:space="preserve">747005 - DOXAZOSINA 2 MG COMP - </v>
      </c>
    </row>
    <row r="164" spans="1:5" x14ac:dyDescent="0.25">
      <c r="A164" s="3">
        <v>1070802</v>
      </c>
      <c r="B164" s="3">
        <v>200171</v>
      </c>
      <c r="C164" s="3" t="s">
        <v>579</v>
      </c>
      <c r="D164" s="3"/>
      <c r="E164" s="4" t="str">
        <f t="shared" si="2"/>
        <v xml:space="preserve">1070802 - DOXICICLINA 100 MG COMP - </v>
      </c>
    </row>
    <row r="165" spans="1:5" x14ac:dyDescent="0.25">
      <c r="A165" s="3">
        <v>262617</v>
      </c>
      <c r="B165" s="3">
        <v>200172</v>
      </c>
      <c r="C165" s="3" t="s">
        <v>580</v>
      </c>
      <c r="D165" s="3"/>
      <c r="E165" s="4" t="str">
        <f t="shared" si="2"/>
        <v xml:space="preserve">262617 - ENALAPRIL 10 MG COMP - </v>
      </c>
    </row>
    <row r="166" spans="1:5" x14ac:dyDescent="0.25">
      <c r="A166" s="3">
        <v>262615</v>
      </c>
      <c r="B166" s="3">
        <v>200174</v>
      </c>
      <c r="C166" s="3" t="s">
        <v>581</v>
      </c>
      <c r="D166" s="3"/>
      <c r="E166" s="4" t="str">
        <f t="shared" si="2"/>
        <v xml:space="preserve">262615 - ENALAPRIL 5 MG COMP - </v>
      </c>
    </row>
    <row r="167" spans="1:5" x14ac:dyDescent="0.25">
      <c r="A167" s="3">
        <v>588502</v>
      </c>
      <c r="B167" s="3">
        <v>200175</v>
      </c>
      <c r="C167" s="3" t="s">
        <v>582</v>
      </c>
      <c r="D167" s="3"/>
      <c r="E167" s="4" t="str">
        <f t="shared" si="2"/>
        <v xml:space="preserve">588502 - ENOXAPARINA 20 MG JERINGA PRELLENADA - </v>
      </c>
    </row>
    <row r="168" spans="1:5" x14ac:dyDescent="0.25">
      <c r="A168" s="3">
        <v>588504</v>
      </c>
      <c r="B168" s="3">
        <v>200176</v>
      </c>
      <c r="C168" s="3" t="s">
        <v>583</v>
      </c>
      <c r="D168" s="3"/>
      <c r="E168" s="4" t="str">
        <f t="shared" si="2"/>
        <v xml:space="preserve">588504 - ENOXAPARINA 40 MG JERINGA PRELLENADA - </v>
      </c>
    </row>
    <row r="169" spans="1:5" x14ac:dyDescent="0.25">
      <c r="A169" s="3">
        <v>588505</v>
      </c>
      <c r="B169" s="3">
        <v>200177</v>
      </c>
      <c r="C169" s="3" t="s">
        <v>584</v>
      </c>
      <c r="D169" s="3"/>
      <c r="E169" s="4" t="str">
        <f t="shared" si="2"/>
        <v xml:space="preserve">588505 - ENOXAPARINA 60 MG JERINGA PRELLENADA - </v>
      </c>
    </row>
    <row r="170" spans="1:5" x14ac:dyDescent="0.25">
      <c r="A170" s="3">
        <v>588506</v>
      </c>
      <c r="B170" s="3">
        <v>200178</v>
      </c>
      <c r="C170" s="3" t="s">
        <v>585</v>
      </c>
      <c r="D170" s="3"/>
      <c r="E170" s="4" t="str">
        <f t="shared" si="2"/>
        <v xml:space="preserve">588506 - ENOXAPARINA 80 MG JERINGA PRELLENADA - </v>
      </c>
    </row>
    <row r="171" spans="1:5" x14ac:dyDescent="0.25">
      <c r="A171" s="3">
        <v>1184209</v>
      </c>
      <c r="B171" s="3"/>
      <c r="C171" s="3" t="s">
        <v>586</v>
      </c>
      <c r="D171" s="3"/>
      <c r="E171" s="4" t="str">
        <f t="shared" si="2"/>
        <v xml:space="preserve">1184209 - ENSURE ADVANCE - </v>
      </c>
    </row>
    <row r="172" spans="1:5" x14ac:dyDescent="0.25">
      <c r="A172" s="3">
        <v>2694701</v>
      </c>
      <c r="B172" s="3"/>
      <c r="C172" s="3" t="s">
        <v>587</v>
      </c>
      <c r="D172" s="3"/>
      <c r="E172" s="4" t="str">
        <f t="shared" si="2"/>
        <v xml:space="preserve">2694701 - ENSURE CLINICAL - </v>
      </c>
    </row>
    <row r="173" spans="1:5" x14ac:dyDescent="0.25">
      <c r="A173" s="3">
        <v>2143401</v>
      </c>
      <c r="B173" s="3">
        <v>45536</v>
      </c>
      <c r="C173" s="3" t="s">
        <v>588</v>
      </c>
      <c r="D173" s="3" t="s">
        <v>589</v>
      </c>
      <c r="E173" s="4" t="str">
        <f t="shared" si="2"/>
        <v>2143401 - ENTEROGERMINA A.BEB.X 10 X 5 ML SANOFI-AVENTIS O - enterogermina</v>
      </c>
    </row>
    <row r="174" spans="1:5" x14ac:dyDescent="0.25">
      <c r="A174" s="3">
        <v>2871603</v>
      </c>
      <c r="B174" s="3"/>
      <c r="C174" s="3" t="s">
        <v>590</v>
      </c>
      <c r="D174" s="3"/>
      <c r="E174" s="4" t="str">
        <f t="shared" si="2"/>
        <v xml:space="preserve">2871603 - ENFABEBE X 200 ML - </v>
      </c>
    </row>
    <row r="175" spans="1:5" x14ac:dyDescent="0.25">
      <c r="A175" s="3">
        <v>576206</v>
      </c>
      <c r="B175" s="3">
        <v>200180</v>
      </c>
      <c r="C175" s="3" t="s">
        <v>591</v>
      </c>
      <c r="D175" s="3"/>
      <c r="E175" s="4" t="str">
        <f t="shared" si="2"/>
        <v xml:space="preserve">576206 - ERGONAVINA 0,2 MG COMP - </v>
      </c>
    </row>
    <row r="176" spans="1:5" x14ac:dyDescent="0.25">
      <c r="A176" s="3">
        <v>576201</v>
      </c>
      <c r="B176" s="3">
        <v>200179</v>
      </c>
      <c r="C176" s="3" t="s">
        <v>367</v>
      </c>
      <c r="D176" s="3"/>
      <c r="E176" s="4" t="str">
        <f t="shared" si="2"/>
        <v xml:space="preserve">576201 - ERGONOVINA 0,2 MG AMP - </v>
      </c>
    </row>
    <row r="177" spans="1:5" x14ac:dyDescent="0.25">
      <c r="A177" s="3">
        <v>1015201</v>
      </c>
      <c r="B177" s="3">
        <v>200181</v>
      </c>
      <c r="C177" s="3" t="s">
        <v>592</v>
      </c>
      <c r="D177" s="3"/>
      <c r="E177" s="4" t="str">
        <f t="shared" si="2"/>
        <v xml:space="preserve">1015201 - ERITROMICINA 1% X 5 ML SN OFT - </v>
      </c>
    </row>
    <row r="178" spans="1:5" x14ac:dyDescent="0.25">
      <c r="A178" s="3">
        <v>331402</v>
      </c>
      <c r="B178" s="3">
        <v>200183</v>
      </c>
      <c r="C178" s="3" t="s">
        <v>593</v>
      </c>
      <c r="D178" s="3"/>
      <c r="E178" s="4" t="str">
        <f t="shared" si="2"/>
        <v xml:space="preserve">331402 - ERITROMICINA 4% X 100 ML SUSP - </v>
      </c>
    </row>
    <row r="179" spans="1:5" x14ac:dyDescent="0.25">
      <c r="A179" s="3">
        <v>2485302</v>
      </c>
      <c r="B179" s="3">
        <v>200184</v>
      </c>
      <c r="C179" s="3" t="s">
        <v>594</v>
      </c>
      <c r="D179" s="3"/>
      <c r="E179" s="4" t="str">
        <f t="shared" si="2"/>
        <v xml:space="preserve">2485302 - ERITROMICINA 500 MG COMP - </v>
      </c>
    </row>
    <row r="180" spans="1:5" x14ac:dyDescent="0.25">
      <c r="A180" s="3">
        <v>1015203</v>
      </c>
      <c r="B180" s="3">
        <v>200182</v>
      </c>
      <c r="C180" s="3" t="s">
        <v>595</v>
      </c>
      <c r="D180" s="3"/>
      <c r="E180" s="4" t="str">
        <f t="shared" si="2"/>
        <v xml:space="preserve">1015203 - ERITROMICINA UNG  OFT UNIDOSIS - </v>
      </c>
    </row>
    <row r="181" spans="1:5" x14ac:dyDescent="0.25">
      <c r="A181" s="3">
        <v>208704</v>
      </c>
      <c r="B181" s="3">
        <v>200185</v>
      </c>
      <c r="C181" s="3" t="s">
        <v>368</v>
      </c>
      <c r="D181" s="3"/>
      <c r="E181" s="4" t="str">
        <f t="shared" si="2"/>
        <v xml:space="preserve">208704 - ERITROPOYETINA 10000 UI FCO-AMP - </v>
      </c>
    </row>
    <row r="182" spans="1:5" x14ac:dyDescent="0.25">
      <c r="A182" s="3">
        <v>208701</v>
      </c>
      <c r="B182" s="3">
        <v>200186</v>
      </c>
      <c r="C182" s="3" t="s">
        <v>369</v>
      </c>
      <c r="D182" s="3"/>
      <c r="E182" s="4" t="str">
        <f t="shared" si="2"/>
        <v xml:space="preserve">208701 - ERITROPOYETINA 2000 UI FCO-AMP - </v>
      </c>
    </row>
    <row r="183" spans="1:5" x14ac:dyDescent="0.25">
      <c r="A183" s="3">
        <v>1382307</v>
      </c>
      <c r="B183" s="3">
        <v>200187</v>
      </c>
      <c r="C183" s="3" t="s">
        <v>370</v>
      </c>
      <c r="D183" s="3"/>
      <c r="E183" s="4" t="str">
        <f t="shared" si="2"/>
        <v xml:space="preserve">1382307 - ERITROPOYETINA 4000 UI FCO-AMP - </v>
      </c>
    </row>
    <row r="184" spans="1:5" x14ac:dyDescent="0.25">
      <c r="A184" s="3">
        <v>1481101</v>
      </c>
      <c r="B184" s="3">
        <v>200188</v>
      </c>
      <c r="C184" s="3" t="s">
        <v>371</v>
      </c>
      <c r="D184" s="3"/>
      <c r="E184" s="4" t="str">
        <f t="shared" si="2"/>
        <v xml:space="preserve">1481101 - ERTAPENEM 1 G FCO-AMP - </v>
      </c>
    </row>
    <row r="185" spans="1:5" x14ac:dyDescent="0.25">
      <c r="A185" s="3">
        <v>2007801</v>
      </c>
      <c r="B185" s="3">
        <v>200189</v>
      </c>
      <c r="C185" s="3" t="s">
        <v>596</v>
      </c>
      <c r="D185" s="3"/>
      <c r="E185" s="4" t="str">
        <f t="shared" si="2"/>
        <v xml:space="preserve">2007801 - ESOMEPRAZOL 10 MG SOBRE - </v>
      </c>
    </row>
    <row r="186" spans="1:5" x14ac:dyDescent="0.25">
      <c r="A186" s="3">
        <v>1345201</v>
      </c>
      <c r="B186" s="3">
        <v>200190</v>
      </c>
      <c r="C186" s="3" t="s">
        <v>597</v>
      </c>
      <c r="D186" s="3"/>
      <c r="E186" s="4" t="str">
        <f t="shared" si="2"/>
        <v xml:space="preserve">1345201 - ESPIRONOLACTONA 100 MG COMP - </v>
      </c>
    </row>
    <row r="187" spans="1:5" x14ac:dyDescent="0.25">
      <c r="A187" s="3">
        <v>1345202</v>
      </c>
      <c r="B187" s="3">
        <v>200191</v>
      </c>
      <c r="C187" s="3" t="s">
        <v>598</v>
      </c>
      <c r="D187" s="3"/>
      <c r="E187" s="4" t="str">
        <f t="shared" si="2"/>
        <v xml:space="preserve">1345202 - ESPIRONOLACTONA 25 MG COMP - </v>
      </c>
    </row>
    <row r="188" spans="1:5" x14ac:dyDescent="0.25">
      <c r="A188" s="3">
        <v>2469801</v>
      </c>
      <c r="B188" s="3">
        <v>200192</v>
      </c>
      <c r="C188" s="3" t="s">
        <v>372</v>
      </c>
      <c r="D188" s="3"/>
      <c r="E188" s="4" t="str">
        <f t="shared" si="2"/>
        <v xml:space="preserve">2469801 - ESTREPTOMICINA 1 G FCO-AMP - </v>
      </c>
    </row>
    <row r="189" spans="1:5" x14ac:dyDescent="0.25">
      <c r="A189" s="3">
        <v>2269001</v>
      </c>
      <c r="B189" s="3">
        <v>200193</v>
      </c>
      <c r="C189" s="3" t="s">
        <v>373</v>
      </c>
      <c r="D189" s="3"/>
      <c r="E189" s="4" t="str">
        <f t="shared" si="2"/>
        <v xml:space="preserve">2269001 - ESTREPTOQUINASA 1500000 UI FCO-AMP - </v>
      </c>
    </row>
    <row r="190" spans="1:5" x14ac:dyDescent="0.25">
      <c r="A190" s="3">
        <v>904101</v>
      </c>
      <c r="B190" s="3">
        <v>200194</v>
      </c>
      <c r="C190" s="3" t="s">
        <v>599</v>
      </c>
      <c r="D190" s="3"/>
      <c r="E190" s="4" t="str">
        <f t="shared" si="2"/>
        <v xml:space="preserve">904101 - ETAMBUTOL 400 MG COMP - </v>
      </c>
    </row>
    <row r="191" spans="1:5" x14ac:dyDescent="0.25">
      <c r="A191" s="3">
        <v>829301</v>
      </c>
      <c r="B191" s="3">
        <v>200195</v>
      </c>
      <c r="C191" s="3" t="s">
        <v>374</v>
      </c>
      <c r="D191" s="3"/>
      <c r="E191" s="4" t="str">
        <f t="shared" si="2"/>
        <v xml:space="preserve">829301 - ETILEFRINA 10 MG AMP - </v>
      </c>
    </row>
    <row r="192" spans="1:5" x14ac:dyDescent="0.25">
      <c r="A192" s="3">
        <v>2598101</v>
      </c>
      <c r="B192" s="3">
        <v>200584</v>
      </c>
      <c r="C192" s="3" t="s">
        <v>375</v>
      </c>
      <c r="D192" s="3"/>
      <c r="E192" s="4" t="str">
        <f t="shared" si="2"/>
        <v xml:space="preserve">2598101 - ETOMIDATO 2 MG AMP - </v>
      </c>
    </row>
    <row r="193" spans="1:5" x14ac:dyDescent="0.25">
      <c r="A193" s="3">
        <v>1794203</v>
      </c>
      <c r="B193" s="3">
        <v>200197</v>
      </c>
      <c r="C193" s="3" t="s">
        <v>376</v>
      </c>
      <c r="D193" s="3"/>
      <c r="E193" s="4" t="str">
        <f t="shared" si="2"/>
        <v xml:space="preserve">1794203 - FENITOINA 100 MG AMPOLLA - </v>
      </c>
    </row>
    <row r="194" spans="1:5" x14ac:dyDescent="0.25">
      <c r="A194" s="3">
        <v>977103</v>
      </c>
      <c r="B194" s="3">
        <v>200198</v>
      </c>
      <c r="C194" s="3" t="s">
        <v>600</v>
      </c>
      <c r="D194" s="3"/>
      <c r="E194" s="4" t="str">
        <f t="shared" si="2"/>
        <v xml:space="preserve">977103 - FENITOINA 100 MG CAP - </v>
      </c>
    </row>
    <row r="195" spans="1:5" x14ac:dyDescent="0.25">
      <c r="A195" s="3">
        <v>155403</v>
      </c>
      <c r="B195" s="3">
        <v>200196</v>
      </c>
      <c r="C195" s="3" t="s">
        <v>601</v>
      </c>
      <c r="D195" s="3"/>
      <c r="E195" s="4" t="str">
        <f t="shared" ref="E195:E258" si="3">_xlfn.CONCAT(A195, " - ",C195, " - ",D195)</f>
        <v xml:space="preserve">155403 - FENITOINA X 120 ML SUSP - </v>
      </c>
    </row>
    <row r="196" spans="1:5" x14ac:dyDescent="0.25">
      <c r="A196" s="3">
        <v>761402</v>
      </c>
      <c r="B196" s="3">
        <v>200200</v>
      </c>
      <c r="C196" s="3" t="s">
        <v>602</v>
      </c>
      <c r="D196" s="3"/>
      <c r="E196" s="4" t="str">
        <f t="shared" si="3"/>
        <v xml:space="preserve">761402 - FENOBARBITAL 100 MG COMP - </v>
      </c>
    </row>
    <row r="197" spans="1:5" x14ac:dyDescent="0.25">
      <c r="A197" s="3">
        <v>1326307</v>
      </c>
      <c r="B197" s="3">
        <v>200199</v>
      </c>
      <c r="C197" s="3" t="s">
        <v>377</v>
      </c>
      <c r="D197" s="3"/>
      <c r="E197" s="4" t="str">
        <f t="shared" si="3"/>
        <v xml:space="preserve">1326307 - FENOBARBITAL 100 MG/ 2ML AMP - </v>
      </c>
    </row>
    <row r="198" spans="1:5" x14ac:dyDescent="0.25">
      <c r="A198" s="3">
        <v>263601</v>
      </c>
      <c r="B198" s="3">
        <v>200201</v>
      </c>
      <c r="C198" s="3" t="s">
        <v>603</v>
      </c>
      <c r="D198" s="3"/>
      <c r="E198" s="4" t="str">
        <f t="shared" si="3"/>
        <v xml:space="preserve">263601 - FENOBARBITAL 15 MG COMP - </v>
      </c>
    </row>
    <row r="199" spans="1:5" x14ac:dyDescent="0.25">
      <c r="A199" s="3">
        <v>1468802</v>
      </c>
      <c r="B199" s="3">
        <v>200204</v>
      </c>
      <c r="C199" s="3" t="s">
        <v>378</v>
      </c>
      <c r="D199" s="3"/>
      <c r="E199" s="4" t="str">
        <f t="shared" si="3"/>
        <v xml:space="preserve">1468802 - FENTANILO  0,05 MG/ML AMPOLLA - </v>
      </c>
    </row>
    <row r="200" spans="1:5" x14ac:dyDescent="0.25">
      <c r="A200" s="3">
        <v>890805</v>
      </c>
      <c r="B200" s="3">
        <v>200206</v>
      </c>
      <c r="C200" s="3" t="s">
        <v>604</v>
      </c>
      <c r="D200" s="3"/>
      <c r="E200" s="4" t="str">
        <f t="shared" si="3"/>
        <v xml:space="preserve">890805 - FEXOFENADINA 180 MG COMP - </v>
      </c>
    </row>
    <row r="201" spans="1:5" x14ac:dyDescent="0.25">
      <c r="A201" s="3">
        <v>1403302</v>
      </c>
      <c r="B201" s="3">
        <v>200207</v>
      </c>
      <c r="C201" s="3" t="s">
        <v>605</v>
      </c>
      <c r="D201" s="3"/>
      <c r="E201" s="4" t="str">
        <f t="shared" si="3"/>
        <v xml:space="preserve">1403302 - FIBRINOGENO KIT ADHESIVO 1 ML - </v>
      </c>
    </row>
    <row r="202" spans="1:5" x14ac:dyDescent="0.25">
      <c r="A202" s="3">
        <v>1403303</v>
      </c>
      <c r="B202" s="3">
        <v>200208</v>
      </c>
      <c r="C202" s="3" t="s">
        <v>606</v>
      </c>
      <c r="D202" s="3"/>
      <c r="E202" s="4" t="str">
        <f t="shared" si="3"/>
        <v xml:space="preserve">1403303 - FIBRINOGENO KIT ADHESIVO 3 ML - </v>
      </c>
    </row>
    <row r="203" spans="1:5" x14ac:dyDescent="0.25">
      <c r="A203" s="3">
        <v>2493401</v>
      </c>
      <c r="B203" s="3">
        <v>200209</v>
      </c>
      <c r="C203" s="3" t="s">
        <v>379</v>
      </c>
      <c r="D203" s="3"/>
      <c r="E203" s="4" t="str">
        <f t="shared" si="3"/>
        <v xml:space="preserve">2493401 - FILGASTRIM 30 MUI FCO-AMP - </v>
      </c>
    </row>
    <row r="204" spans="1:5" x14ac:dyDescent="0.25">
      <c r="A204" s="3">
        <v>604501</v>
      </c>
      <c r="B204" s="3">
        <v>200210</v>
      </c>
      <c r="C204" s="3" t="s">
        <v>607</v>
      </c>
      <c r="D204" s="3"/>
      <c r="E204" s="4" t="str">
        <f t="shared" si="3"/>
        <v xml:space="preserve">604501 - FINASTERIDE 5 MG COMP - </v>
      </c>
    </row>
    <row r="205" spans="1:5" x14ac:dyDescent="0.25">
      <c r="A205" s="3">
        <v>134001</v>
      </c>
      <c r="B205" s="3">
        <v>200211</v>
      </c>
      <c r="C205" s="3" t="s">
        <v>608</v>
      </c>
      <c r="D205" s="3"/>
      <c r="E205" s="4" t="str">
        <f t="shared" si="3"/>
        <v xml:space="preserve">134001 - FLECAINIDA 100 MG COMP - </v>
      </c>
    </row>
    <row r="206" spans="1:5" x14ac:dyDescent="0.25">
      <c r="A206" s="3">
        <v>301604</v>
      </c>
      <c r="B206" s="3">
        <v>200212</v>
      </c>
      <c r="C206" s="3" t="s">
        <v>380</v>
      </c>
      <c r="D206" s="3"/>
      <c r="E206" s="4" t="str">
        <f t="shared" si="3"/>
        <v xml:space="preserve">301604 - FLOROGLUCINOL + TRIMETOXIBENCENO AMP - </v>
      </c>
    </row>
    <row r="207" spans="1:5" x14ac:dyDescent="0.25">
      <c r="A207" s="3">
        <v>698513</v>
      </c>
      <c r="B207" s="3">
        <v>200213</v>
      </c>
      <c r="C207" s="3" t="s">
        <v>609</v>
      </c>
      <c r="D207" s="3"/>
      <c r="E207" s="4" t="str">
        <f t="shared" si="3"/>
        <v xml:space="preserve">698513 - FLUCONAZOL 100 MG COMP - </v>
      </c>
    </row>
    <row r="208" spans="1:5" x14ac:dyDescent="0.25">
      <c r="A208" s="3">
        <v>580901</v>
      </c>
      <c r="B208" s="3">
        <v>200214</v>
      </c>
      <c r="C208" s="3" t="s">
        <v>610</v>
      </c>
      <c r="D208" s="3"/>
      <c r="E208" s="4" t="str">
        <f t="shared" si="3"/>
        <v xml:space="preserve">580901 - FLUCONAZOL 200 MG / 100 ML EV - </v>
      </c>
    </row>
    <row r="209" spans="1:5" x14ac:dyDescent="0.25">
      <c r="A209" s="3">
        <v>700012</v>
      </c>
      <c r="B209" s="3">
        <v>200215</v>
      </c>
      <c r="C209" s="3" t="s">
        <v>611</v>
      </c>
      <c r="D209" s="3"/>
      <c r="E209" s="4" t="str">
        <f t="shared" si="3"/>
        <v xml:space="preserve">700012 - FLUCONAZOL 50 MG/ 5 ML X 35 ML  SUSP - </v>
      </c>
    </row>
    <row r="210" spans="1:5" x14ac:dyDescent="0.25">
      <c r="A210" s="3">
        <v>1121204</v>
      </c>
      <c r="B210" s="3">
        <v>200216</v>
      </c>
      <c r="C210" s="3" t="s">
        <v>381</v>
      </c>
      <c r="D210" s="3"/>
      <c r="E210" s="4" t="str">
        <f t="shared" si="3"/>
        <v xml:space="preserve">1121204 - FLUMAZENIL 0,5 MG/ 5ML AMP - </v>
      </c>
    </row>
    <row r="211" spans="1:5" x14ac:dyDescent="0.25">
      <c r="A211" s="3">
        <v>2504301</v>
      </c>
      <c r="B211" s="3">
        <v>200217</v>
      </c>
      <c r="C211" s="3" t="s">
        <v>612</v>
      </c>
      <c r="D211" s="3"/>
      <c r="E211" s="4" t="str">
        <f t="shared" si="3"/>
        <v xml:space="preserve">2504301 - FLUORESCEINA 0,25% X 5 ML COLIRIO - </v>
      </c>
    </row>
    <row r="212" spans="1:5" x14ac:dyDescent="0.25">
      <c r="A212" s="3">
        <v>303403</v>
      </c>
      <c r="B212" s="3">
        <v>200218</v>
      </c>
      <c r="C212" s="3" t="s">
        <v>613</v>
      </c>
      <c r="D212" s="3"/>
      <c r="E212" s="4" t="str">
        <f t="shared" si="3"/>
        <v xml:space="preserve">303403 - FLUOXETINA 20 MG COMP - </v>
      </c>
    </row>
    <row r="213" spans="1:5" x14ac:dyDescent="0.25">
      <c r="A213" s="3">
        <v>194907</v>
      </c>
      <c r="B213" s="3">
        <v>200220</v>
      </c>
      <c r="C213" s="3" t="s">
        <v>614</v>
      </c>
      <c r="D213" s="3"/>
      <c r="E213" s="4" t="str">
        <f t="shared" si="3"/>
        <v xml:space="preserve">194907 - FLUTICASONA 125 MCG AEROSOL X 120 DOSIS - </v>
      </c>
    </row>
    <row r="214" spans="1:5" x14ac:dyDescent="0.25">
      <c r="A214" s="3">
        <v>418101</v>
      </c>
      <c r="B214" s="3">
        <v>200219</v>
      </c>
      <c r="C214" s="3" t="s">
        <v>615</v>
      </c>
      <c r="D214" s="3"/>
      <c r="E214" s="4" t="str">
        <f t="shared" si="3"/>
        <v xml:space="preserve">418101 - FLUTICASONA 250 + SALMETEROL 25 MCG AEROSOL X 120 DOSIS - </v>
      </c>
    </row>
    <row r="215" spans="1:5" x14ac:dyDescent="0.25">
      <c r="A215" s="3">
        <v>6310</v>
      </c>
      <c r="B215" s="3">
        <v>200223</v>
      </c>
      <c r="C215" s="3" t="s">
        <v>382</v>
      </c>
      <c r="D215" s="3"/>
      <c r="E215" s="4" t="str">
        <f t="shared" si="3"/>
        <v xml:space="preserve">6310 - FOSFATO DE POTASIO 3 MMOL/ML X 10 ML AMP - </v>
      </c>
    </row>
    <row r="216" spans="1:5" x14ac:dyDescent="0.25">
      <c r="A216" s="3">
        <v>153701</v>
      </c>
      <c r="B216" s="3">
        <v>200224</v>
      </c>
      <c r="C216" s="3" t="s">
        <v>616</v>
      </c>
      <c r="D216" s="3"/>
      <c r="E216" s="4" t="str">
        <f t="shared" si="3"/>
        <v xml:space="preserve">153701 - FOSFATO MONOSODICO + FOSFATO DE SODIO ENEMA - </v>
      </c>
    </row>
    <row r="217" spans="1:5" x14ac:dyDescent="0.25">
      <c r="A217" s="3">
        <v>500024</v>
      </c>
      <c r="B217" s="3">
        <v>500024</v>
      </c>
      <c r="C217" s="3" t="s">
        <v>617</v>
      </c>
      <c r="D217" s="3"/>
      <c r="E217" s="4" t="str">
        <f t="shared" si="3"/>
        <v xml:space="preserve">500024 - FOSMICYN 1 GR IV INY.F.A X 1 LAFEDAR - </v>
      </c>
    </row>
    <row r="218" spans="1:5" x14ac:dyDescent="0.25">
      <c r="A218" s="3">
        <v>1418201</v>
      </c>
      <c r="B218" s="3">
        <v>200225</v>
      </c>
      <c r="C218" s="3" t="s">
        <v>383</v>
      </c>
      <c r="D218" s="3"/>
      <c r="E218" s="4" t="str">
        <f t="shared" si="3"/>
        <v xml:space="preserve">1418201 - FUROSEMIDA 20 MG AMP - </v>
      </c>
    </row>
    <row r="219" spans="1:5" x14ac:dyDescent="0.25">
      <c r="A219" s="3">
        <v>246302</v>
      </c>
      <c r="B219" s="3">
        <v>200226</v>
      </c>
      <c r="C219" s="3" t="s">
        <v>618</v>
      </c>
      <c r="D219" s="3"/>
      <c r="E219" s="4" t="str">
        <f t="shared" si="3"/>
        <v xml:space="preserve">246302 - FUROSEMIDA 40 MG COMP - </v>
      </c>
    </row>
    <row r="220" spans="1:5" x14ac:dyDescent="0.25">
      <c r="A220" s="3">
        <v>187201</v>
      </c>
      <c r="B220" s="3">
        <v>200227</v>
      </c>
      <c r="C220" s="3" t="s">
        <v>619</v>
      </c>
      <c r="D220" s="3"/>
      <c r="E220" s="4" t="str">
        <f t="shared" si="3"/>
        <v xml:space="preserve">187201 - FUSIDICO, ACIDO 2% CR - </v>
      </c>
    </row>
    <row r="221" spans="1:5" x14ac:dyDescent="0.25">
      <c r="A221" s="3">
        <v>956301</v>
      </c>
      <c r="B221" s="3">
        <v>500059</v>
      </c>
      <c r="C221" s="3" t="s">
        <v>620</v>
      </c>
      <c r="D221" s="3" t="s">
        <v>621</v>
      </c>
      <c r="E221" s="4" t="str">
        <f t="shared" si="3"/>
        <v>956301 - GANCICLOVIR 500 MG F/A X 1 HSJD - ciganclor</v>
      </c>
    </row>
    <row r="222" spans="1:5" x14ac:dyDescent="0.25">
      <c r="A222" s="3">
        <v>628201</v>
      </c>
      <c r="B222" s="3">
        <v>200333</v>
      </c>
      <c r="C222" s="3" t="s">
        <v>622</v>
      </c>
      <c r="D222" s="3"/>
      <c r="E222" s="4" t="str">
        <f t="shared" si="3"/>
        <v xml:space="preserve">628201 - GADOTERATO DE MEGLUMINA X 15 ML FCO ( DOTAREM) - </v>
      </c>
    </row>
    <row r="223" spans="1:5" x14ac:dyDescent="0.25">
      <c r="A223" s="3">
        <v>194906</v>
      </c>
      <c r="B223" s="3">
        <v>200231</v>
      </c>
      <c r="C223" s="3" t="s">
        <v>384</v>
      </c>
      <c r="D223" s="3"/>
      <c r="E223" s="4" t="str">
        <f t="shared" si="3"/>
        <v xml:space="preserve">194906 - GENTAMICINA 20 MG AMPOLLA - </v>
      </c>
    </row>
    <row r="224" spans="1:5" x14ac:dyDescent="0.25">
      <c r="A224" s="3">
        <v>195806</v>
      </c>
      <c r="B224" s="3">
        <v>200232</v>
      </c>
      <c r="C224" s="3" t="s">
        <v>385</v>
      </c>
      <c r="D224" s="3"/>
      <c r="E224" s="4" t="str">
        <f t="shared" si="3"/>
        <v xml:space="preserve">195806 - GENTAMICINA 80 MG AMPOLLA - </v>
      </c>
    </row>
    <row r="225" spans="1:5" x14ac:dyDescent="0.25">
      <c r="A225" s="3">
        <v>417901</v>
      </c>
      <c r="B225" s="3">
        <v>200234</v>
      </c>
      <c r="C225" s="3" t="s">
        <v>623</v>
      </c>
      <c r="D225" s="3"/>
      <c r="E225" s="4" t="str">
        <f t="shared" si="3"/>
        <v xml:space="preserve">417901 - GLICERINA SUPOSITORIOS - </v>
      </c>
    </row>
    <row r="226" spans="1:5" x14ac:dyDescent="0.25">
      <c r="A226" s="3">
        <v>1058901</v>
      </c>
      <c r="B226" s="3"/>
      <c r="C226" s="3" t="s">
        <v>624</v>
      </c>
      <c r="D226" s="3"/>
      <c r="E226" s="4" t="str">
        <f t="shared" si="3"/>
        <v xml:space="preserve">1058901 - GLUCERNA - </v>
      </c>
    </row>
    <row r="227" spans="1:5" x14ac:dyDescent="0.25">
      <c r="A227" s="3">
        <v>406445</v>
      </c>
      <c r="B227" s="3"/>
      <c r="C227" s="3" t="s">
        <v>625</v>
      </c>
      <c r="D227" s="3"/>
      <c r="E227" s="4" t="str">
        <f t="shared" si="3"/>
        <v xml:space="preserve">406445 - GLICINA - </v>
      </c>
    </row>
    <row r="228" spans="1:5" x14ac:dyDescent="0.25">
      <c r="A228" s="3">
        <v>1257801</v>
      </c>
      <c r="B228" s="3">
        <v>200574</v>
      </c>
      <c r="C228" s="3" t="s">
        <v>626</v>
      </c>
      <c r="D228" s="3" t="s">
        <v>627</v>
      </c>
      <c r="E228" s="4" t="str">
        <f t="shared" si="3"/>
        <v>1257801 - GLUCAGON 1 MG JGA PRELL. - glucogen</v>
      </c>
    </row>
    <row r="229" spans="1:5" x14ac:dyDescent="0.25">
      <c r="A229" s="3">
        <v>2904901</v>
      </c>
      <c r="B229" s="3">
        <v>200079</v>
      </c>
      <c r="C229" s="3" t="s">
        <v>386</v>
      </c>
      <c r="D229" s="3"/>
      <c r="E229" s="4" t="str">
        <f t="shared" si="3"/>
        <v xml:space="preserve">2904901 - GLUCONATO DE CALCIO x 10 ML AMP - </v>
      </c>
    </row>
    <row r="230" spans="1:5" x14ac:dyDescent="0.25">
      <c r="A230" s="3">
        <v>237301</v>
      </c>
      <c r="B230" s="3">
        <v>200422</v>
      </c>
      <c r="C230" s="3" t="s">
        <v>628</v>
      </c>
      <c r="D230" s="3"/>
      <c r="E230" s="4" t="str">
        <f t="shared" si="3"/>
        <v xml:space="preserve">237301 - GLUCONATO DE POTASIO X 150 ML ELIXIR - </v>
      </c>
    </row>
    <row r="231" spans="1:5" x14ac:dyDescent="0.25">
      <c r="A231" s="3">
        <v>405713</v>
      </c>
      <c r="B231" s="3">
        <v>200235</v>
      </c>
      <c r="C231" s="3" t="s">
        <v>387</v>
      </c>
      <c r="D231" s="3"/>
      <c r="E231" s="4" t="str">
        <f t="shared" si="3"/>
        <v xml:space="preserve">405713 - GLUCOSADO HIPERTONICO 25 % X 10 ML AMP - </v>
      </c>
    </row>
    <row r="232" spans="1:5" x14ac:dyDescent="0.25">
      <c r="A232" s="3">
        <v>206920</v>
      </c>
      <c r="B232" s="3">
        <v>200238</v>
      </c>
      <c r="C232" s="3" t="s">
        <v>629</v>
      </c>
      <c r="D232" s="3"/>
      <c r="E232" s="4" t="str">
        <f t="shared" si="3"/>
        <v xml:space="preserve">206920 - HALOPERIDOL 2 MG/ML X 30 ML GOTAS - </v>
      </c>
    </row>
    <row r="233" spans="1:5" x14ac:dyDescent="0.25">
      <c r="A233" s="3">
        <v>206917</v>
      </c>
      <c r="B233" s="3">
        <v>200569</v>
      </c>
      <c r="C233" s="3" t="s">
        <v>388</v>
      </c>
      <c r="D233" s="3"/>
      <c r="E233" s="4" t="str">
        <f t="shared" si="3"/>
        <v xml:space="preserve">206917 - HALOPERIDOL 5 MG/ML AMPOLLA IV - </v>
      </c>
    </row>
    <row r="234" spans="1:5" x14ac:dyDescent="0.25">
      <c r="A234" s="3">
        <v>497401</v>
      </c>
      <c r="B234" s="3">
        <v>200240</v>
      </c>
      <c r="C234" s="3" t="s">
        <v>389</v>
      </c>
      <c r="D234" s="3"/>
      <c r="E234" s="4" t="str">
        <f t="shared" si="3"/>
        <v xml:space="preserve">497401 - HEPARINA SODICA 5000UI/ML X 5 ML FCO-AMP - </v>
      </c>
    </row>
    <row r="235" spans="1:5" x14ac:dyDescent="0.25">
      <c r="A235" s="3">
        <v>823802</v>
      </c>
      <c r="B235" s="3">
        <v>200241</v>
      </c>
      <c r="C235" s="3" t="s">
        <v>630</v>
      </c>
      <c r="D235" s="3"/>
      <c r="E235" s="4" t="str">
        <f t="shared" si="3"/>
        <v xml:space="preserve">823802 - HIDRALAZINA 50 MG COMP - </v>
      </c>
    </row>
    <row r="236" spans="1:5" x14ac:dyDescent="0.25">
      <c r="A236" s="3">
        <v>138004</v>
      </c>
      <c r="B236" s="3">
        <v>200243</v>
      </c>
      <c r="C236" s="3" t="s">
        <v>631</v>
      </c>
      <c r="D236" s="3"/>
      <c r="E236" s="4" t="str">
        <f t="shared" si="3"/>
        <v xml:space="preserve">138004 - HIDROCLOROTIAZIDA 25 MG COMP - </v>
      </c>
    </row>
    <row r="237" spans="1:5" x14ac:dyDescent="0.25">
      <c r="A237" s="3">
        <v>489903</v>
      </c>
      <c r="B237" s="3">
        <v>200244</v>
      </c>
      <c r="C237" s="3" t="s">
        <v>632</v>
      </c>
      <c r="D237" s="3"/>
      <c r="E237" s="4" t="str">
        <f t="shared" si="3"/>
        <v xml:space="preserve">489903 - HIDROCORTISONA + LIDOCAINA X 10G POMADA - </v>
      </c>
    </row>
    <row r="238" spans="1:5" x14ac:dyDescent="0.25">
      <c r="A238" s="3">
        <v>279603</v>
      </c>
      <c r="B238" s="3">
        <v>200245</v>
      </c>
      <c r="C238" s="3" t="s">
        <v>633</v>
      </c>
      <c r="D238" s="3"/>
      <c r="E238" s="4" t="str">
        <f t="shared" si="3"/>
        <v xml:space="preserve">279603 - HIDROCORTISONA 1% X 15 G CR - </v>
      </c>
    </row>
    <row r="239" spans="1:5" x14ac:dyDescent="0.25">
      <c r="A239" s="3">
        <v>213501</v>
      </c>
      <c r="B239" s="3">
        <v>200247</v>
      </c>
      <c r="C239" s="3" t="s">
        <v>634</v>
      </c>
      <c r="D239" s="3"/>
      <c r="E239" s="4" t="str">
        <f t="shared" si="3"/>
        <v xml:space="preserve">213501 - HIDROCORTISONA 10 MG COMP - </v>
      </c>
    </row>
    <row r="240" spans="1:5" x14ac:dyDescent="0.25">
      <c r="A240" s="3">
        <v>1032801</v>
      </c>
      <c r="B240" s="3">
        <v>200246</v>
      </c>
      <c r="C240" s="3" t="s">
        <v>390</v>
      </c>
      <c r="D240" s="3"/>
      <c r="E240" s="4" t="str">
        <f t="shared" si="3"/>
        <v xml:space="preserve">1032801 - HIDROCORTISONA 100 MG  FCO-AMP - </v>
      </c>
    </row>
    <row r="241" spans="1:5" x14ac:dyDescent="0.25">
      <c r="A241" s="3">
        <v>1032802</v>
      </c>
      <c r="B241" s="3">
        <v>200248</v>
      </c>
      <c r="C241" s="3" t="s">
        <v>391</v>
      </c>
      <c r="D241" s="3"/>
      <c r="E241" s="4" t="str">
        <f t="shared" si="3"/>
        <v xml:space="preserve">1032802 - HIDROCORTISONA 500 MG  FCO-AMP - </v>
      </c>
    </row>
    <row r="242" spans="1:5" x14ac:dyDescent="0.25">
      <c r="A242" s="3">
        <v>291522</v>
      </c>
      <c r="B242" s="3">
        <v>200251</v>
      </c>
      <c r="C242" s="3" t="s">
        <v>635</v>
      </c>
      <c r="D242" s="3"/>
      <c r="E242" s="4" t="str">
        <f t="shared" si="3"/>
        <v xml:space="preserve">291522 - HIDROX MAG + HIDROX AL+ SIMET X 150 ML SUSP - </v>
      </c>
    </row>
    <row r="243" spans="1:5" x14ac:dyDescent="0.25">
      <c r="A243" s="3">
        <v>40102</v>
      </c>
      <c r="B243" s="3">
        <v>200249</v>
      </c>
      <c r="C243" s="3" t="s">
        <v>636</v>
      </c>
      <c r="D243" s="3"/>
      <c r="E243" s="4" t="str">
        <f t="shared" si="3"/>
        <v xml:space="preserve">40102 - HIDROXICINA 25 MG COMP - </v>
      </c>
    </row>
    <row r="244" spans="1:5" x14ac:dyDescent="0.25">
      <c r="A244" s="3">
        <v>1265601</v>
      </c>
      <c r="B244" s="3">
        <v>200250</v>
      </c>
      <c r="C244" s="3" t="s">
        <v>637</v>
      </c>
      <c r="D244" s="3"/>
      <c r="E244" s="4" t="str">
        <f t="shared" si="3"/>
        <v xml:space="preserve">1265601 - HIDROXICLOROQUINA 200 MG COMP - </v>
      </c>
    </row>
    <row r="245" spans="1:5" x14ac:dyDescent="0.25">
      <c r="A245" s="3">
        <v>2021501</v>
      </c>
      <c r="B245" s="3">
        <v>200252</v>
      </c>
      <c r="C245" s="3" t="s">
        <v>638</v>
      </c>
      <c r="D245" s="3"/>
      <c r="E245" s="4" t="str">
        <f t="shared" si="3"/>
        <v xml:space="preserve">2021501 - HIDROXIETILALMIDON 6% X 500 ML - </v>
      </c>
    </row>
    <row r="246" spans="1:5" x14ac:dyDescent="0.25">
      <c r="A246" s="3">
        <v>536001</v>
      </c>
      <c r="B246" s="3">
        <v>200161</v>
      </c>
      <c r="C246" s="3" t="s">
        <v>639</v>
      </c>
      <c r="D246" s="3"/>
      <c r="E246" s="4" t="str">
        <f t="shared" si="3"/>
        <v xml:space="preserve">536001 - DIOSMINA + HESPERIDINA 500MG - </v>
      </c>
    </row>
    <row r="247" spans="1:5" x14ac:dyDescent="0.25">
      <c r="A247" s="3">
        <v>2794301</v>
      </c>
      <c r="B247" s="3">
        <v>200254</v>
      </c>
      <c r="C247" s="3" t="s">
        <v>640</v>
      </c>
      <c r="D247" s="3"/>
      <c r="E247" s="4" t="str">
        <f t="shared" si="3"/>
        <v xml:space="preserve">2794301 - HIDROXIPROPILMETILCELULOSA X 15 ML SOL OFT - </v>
      </c>
    </row>
    <row r="248" spans="1:5" x14ac:dyDescent="0.25">
      <c r="A248" s="3">
        <v>475202</v>
      </c>
      <c r="B248" s="3">
        <v>200255</v>
      </c>
      <c r="C248" s="3" t="s">
        <v>392</v>
      </c>
      <c r="D248" s="3" t="s">
        <v>641</v>
      </c>
      <c r="E248" s="4" t="str">
        <f t="shared" si="3"/>
        <v>475202 - HIERRO AC FOLICO VIT B12 AMP - yectafer complex</v>
      </c>
    </row>
    <row r="249" spans="1:5" x14ac:dyDescent="0.25">
      <c r="A249" s="3">
        <v>1719013</v>
      </c>
      <c r="B249" s="3">
        <v>200256</v>
      </c>
      <c r="C249" s="3" t="s">
        <v>642</v>
      </c>
      <c r="D249" s="3"/>
      <c r="E249" s="4" t="str">
        <f t="shared" si="3"/>
        <v xml:space="preserve">1719013 - PREGABALINA 75 MG - </v>
      </c>
    </row>
    <row r="250" spans="1:5" x14ac:dyDescent="0.25">
      <c r="A250" s="3">
        <v>475101</v>
      </c>
      <c r="B250" s="3">
        <v>200257</v>
      </c>
      <c r="C250" s="3" t="s">
        <v>393</v>
      </c>
      <c r="D250" s="3"/>
      <c r="E250" s="4" t="str">
        <f t="shared" si="3"/>
        <v xml:space="preserve">475101 - HIERRO DEXTRANO 5% AMP - </v>
      </c>
    </row>
    <row r="251" spans="1:5" x14ac:dyDescent="0.25">
      <c r="A251" s="3">
        <v>1952001</v>
      </c>
      <c r="B251" s="3">
        <v>200258</v>
      </c>
      <c r="C251" s="3" t="s">
        <v>394</v>
      </c>
      <c r="D251" s="3"/>
      <c r="E251" s="4" t="str">
        <f t="shared" si="3"/>
        <v xml:space="preserve">1952001 - HIERRO SACARATO 100 MG/ 5ML AMP - </v>
      </c>
    </row>
    <row r="252" spans="1:5" x14ac:dyDescent="0.25">
      <c r="A252" s="3">
        <v>887103</v>
      </c>
      <c r="B252" s="3">
        <v>200260</v>
      </c>
      <c r="C252" s="3" t="s">
        <v>643</v>
      </c>
      <c r="D252" s="3"/>
      <c r="E252" s="4" t="str">
        <f t="shared" si="3"/>
        <v xml:space="preserve">887103 - HIERRO SULFATO 200 MG COMP - </v>
      </c>
    </row>
    <row r="253" spans="1:5" x14ac:dyDescent="0.25">
      <c r="A253" s="3">
        <v>172501</v>
      </c>
      <c r="B253" s="3">
        <v>200259</v>
      </c>
      <c r="C253" s="3" t="s">
        <v>644</v>
      </c>
      <c r="D253" s="3"/>
      <c r="E253" s="4" t="str">
        <f t="shared" si="3"/>
        <v xml:space="preserve">172501 - HIERRO SULFATO X 20 ML GOTAS - </v>
      </c>
    </row>
    <row r="254" spans="1:5" x14ac:dyDescent="0.25">
      <c r="A254" s="3">
        <v>68509</v>
      </c>
      <c r="B254" s="3">
        <v>200262</v>
      </c>
      <c r="C254" s="3" t="s">
        <v>645</v>
      </c>
      <c r="D254" s="3"/>
      <c r="E254" s="4" t="str">
        <f t="shared" si="3"/>
        <v xml:space="preserve">68509 - HIOSCINA + DIPIRONA COMP - </v>
      </c>
    </row>
    <row r="255" spans="1:5" x14ac:dyDescent="0.25">
      <c r="A255" s="3">
        <v>580508</v>
      </c>
      <c r="B255" s="3">
        <v>200261</v>
      </c>
      <c r="C255" s="3" t="s">
        <v>395</v>
      </c>
      <c r="D255" s="3"/>
      <c r="E255" s="4" t="str">
        <f t="shared" si="3"/>
        <v xml:space="preserve">580508 - HIOSCINA + DIPIRONA X 5 ML AMP - </v>
      </c>
    </row>
    <row r="256" spans="1:5" x14ac:dyDescent="0.25">
      <c r="A256" s="3">
        <v>1499101</v>
      </c>
      <c r="B256" s="3">
        <v>200263</v>
      </c>
      <c r="C256" s="3" t="s">
        <v>646</v>
      </c>
      <c r="D256" s="3"/>
      <c r="E256" s="4" t="str">
        <f t="shared" si="3"/>
        <v xml:space="preserve">1499101 - HIOSCINA 10 MG COMP - </v>
      </c>
    </row>
    <row r="257" spans="1:5" x14ac:dyDescent="0.25">
      <c r="A257" s="3">
        <v>581803</v>
      </c>
      <c r="B257" s="3">
        <v>200264</v>
      </c>
      <c r="C257" s="3" t="s">
        <v>396</v>
      </c>
      <c r="D257" s="3"/>
      <c r="E257" s="4" t="str">
        <f t="shared" si="3"/>
        <v xml:space="preserve">581803 - HIOSCINA 20 MG/ML AMP - </v>
      </c>
    </row>
    <row r="258" spans="1:5" x14ac:dyDescent="0.25">
      <c r="A258" s="3">
        <v>215501</v>
      </c>
      <c r="B258" s="3">
        <v>10207</v>
      </c>
      <c r="C258" s="3" t="s">
        <v>647</v>
      </c>
      <c r="D258" s="3" t="s">
        <v>648</v>
      </c>
      <c r="E258" s="4" t="str">
        <f t="shared" si="3"/>
        <v>215501 - HIPOGLOS CICATRIZANTE PVO.X 40 G ANDROMACO - hipoglos</v>
      </c>
    </row>
    <row r="259" spans="1:5" x14ac:dyDescent="0.25">
      <c r="A259" s="3">
        <v>1944201</v>
      </c>
      <c r="B259" s="3">
        <v>200626</v>
      </c>
      <c r="C259" s="3" t="s">
        <v>649</v>
      </c>
      <c r="D259" s="3"/>
      <c r="E259" s="4" t="str">
        <f t="shared" ref="E259:E322" si="4">_xlfn.CONCAT(A259, " - ",C259, " - ",D259)</f>
        <v xml:space="preserve">1944201 - IBUPROFENO 4 % SUSPENSION - </v>
      </c>
    </row>
    <row r="260" spans="1:5" x14ac:dyDescent="0.25">
      <c r="A260" s="3">
        <v>1941304</v>
      </c>
      <c r="B260" s="3">
        <v>200267</v>
      </c>
      <c r="C260" s="3" t="s">
        <v>650</v>
      </c>
      <c r="D260" s="3"/>
      <c r="E260" s="4" t="str">
        <f t="shared" si="4"/>
        <v xml:space="preserve">1941304 - IBUPROFENO 400 MG COMP - </v>
      </c>
    </row>
    <row r="261" spans="1:5" x14ac:dyDescent="0.25">
      <c r="A261" s="3">
        <v>2790901</v>
      </c>
      <c r="B261" s="3"/>
      <c r="C261" s="3" t="s">
        <v>397</v>
      </c>
      <c r="D261" s="3"/>
      <c r="E261" s="4" t="str">
        <f t="shared" si="4"/>
        <v xml:space="preserve">2790901 - IBUPROFENO AMP - </v>
      </c>
    </row>
    <row r="262" spans="1:5" x14ac:dyDescent="0.25">
      <c r="A262" s="3">
        <v>1761803</v>
      </c>
      <c r="B262" s="3">
        <v>200268</v>
      </c>
      <c r="C262" s="3" t="s">
        <v>398</v>
      </c>
      <c r="D262" s="3"/>
      <c r="E262" s="4" t="str">
        <f t="shared" si="4"/>
        <v xml:space="preserve">1761803 - IMIPENEM 500 MG FCO-AMP - </v>
      </c>
    </row>
    <row r="263" spans="1:5" x14ac:dyDescent="0.25">
      <c r="A263" s="3">
        <v>224004</v>
      </c>
      <c r="B263" s="3">
        <v>200270</v>
      </c>
      <c r="C263" s="3" t="s">
        <v>651</v>
      </c>
      <c r="D263" s="3"/>
      <c r="E263" s="4" t="str">
        <f t="shared" si="4"/>
        <v xml:space="preserve">224004 - INDOMETACINA 75 MG SUPOSITORIO - </v>
      </c>
    </row>
    <row r="264" spans="1:5" x14ac:dyDescent="0.25">
      <c r="A264" s="3">
        <v>1628401</v>
      </c>
      <c r="B264" s="3">
        <v>200567</v>
      </c>
      <c r="C264" s="3" t="s">
        <v>652</v>
      </c>
      <c r="D264" s="3"/>
      <c r="E264" s="4" t="str">
        <f t="shared" si="4"/>
        <v xml:space="preserve">1628401 - INMUNOGLOBULINA ANTI-HEPATITIS B HUMANA 200 UI/ML - </v>
      </c>
    </row>
    <row r="265" spans="1:5" x14ac:dyDescent="0.25">
      <c r="A265" s="3" t="s">
        <v>399</v>
      </c>
      <c r="B265" s="3">
        <v>200271</v>
      </c>
      <c r="C265" s="3" t="s">
        <v>400</v>
      </c>
      <c r="D265" s="3" t="s">
        <v>653</v>
      </c>
      <c r="E265" s="4" t="str">
        <f t="shared" si="4"/>
        <v>2144602-2246102 - INMUNOGLOBULINA HUMANA 10 G FCO-AMP - octagan-privigen</v>
      </c>
    </row>
    <row r="266" spans="1:5" x14ac:dyDescent="0.25">
      <c r="A266" s="3">
        <v>1885501</v>
      </c>
      <c r="B266" s="3">
        <v>200272</v>
      </c>
      <c r="C266" s="3" t="s">
        <v>401</v>
      </c>
      <c r="D266" s="3"/>
      <c r="E266" s="4" t="str">
        <f t="shared" si="4"/>
        <v xml:space="preserve">1885501 - INSULINA HUMANA CTE 100UI/ML  FCO-AMP X 5 ML - </v>
      </c>
    </row>
    <row r="267" spans="1:5" x14ac:dyDescent="0.25">
      <c r="A267" s="3">
        <v>1885401</v>
      </c>
      <c r="B267" s="3">
        <v>200273</v>
      </c>
      <c r="C267" s="3" t="s">
        <v>402</v>
      </c>
      <c r="D267" s="3"/>
      <c r="E267" s="4" t="str">
        <f t="shared" si="4"/>
        <v xml:space="preserve">1885401 - INSULINA HUMANA NPH 100UI/ML  FCO-AMP X 5 ML - </v>
      </c>
    </row>
    <row r="268" spans="1:5" x14ac:dyDescent="0.25">
      <c r="A268" s="3">
        <v>716501</v>
      </c>
      <c r="B268" s="3">
        <v>200274</v>
      </c>
      <c r="C268" s="3" t="s">
        <v>654</v>
      </c>
      <c r="D268" s="3"/>
      <c r="E268" s="4" t="str">
        <f t="shared" si="4"/>
        <v xml:space="preserve">716501 - IOBITRIDOL 300 MG X 50 ML - </v>
      </c>
    </row>
    <row r="269" spans="1:5" x14ac:dyDescent="0.25">
      <c r="A269" s="3">
        <v>256101</v>
      </c>
      <c r="B269" s="3"/>
      <c r="C269" s="3" t="s">
        <v>655</v>
      </c>
      <c r="D269" s="3" t="s">
        <v>656</v>
      </c>
      <c r="E269" s="4" t="str">
        <f t="shared" si="4"/>
        <v>256101 - IODO 4,8 GR LIPIODOL - lipiodol</v>
      </c>
    </row>
    <row r="270" spans="1:5" x14ac:dyDescent="0.25">
      <c r="A270" s="3">
        <v>342107</v>
      </c>
      <c r="B270" s="3">
        <v>380004</v>
      </c>
      <c r="C270" s="3" t="s">
        <v>657</v>
      </c>
      <c r="D270" s="3"/>
      <c r="E270" s="4" t="str">
        <f t="shared" si="4"/>
        <v xml:space="preserve">342107 - IODOPOVIDONA JAB X 60 ML - </v>
      </c>
    </row>
    <row r="271" spans="1:5" x14ac:dyDescent="0.25">
      <c r="A271" s="3">
        <v>342112</v>
      </c>
      <c r="B271" s="3">
        <v>380006</v>
      </c>
      <c r="C271" s="3" t="s">
        <v>658</v>
      </c>
      <c r="D271" s="3"/>
      <c r="E271" s="4" t="str">
        <f t="shared" si="4"/>
        <v xml:space="preserve">342112 - IODOPOVIDONA SOL X 60 ML - </v>
      </c>
    </row>
    <row r="272" spans="1:5" x14ac:dyDescent="0.25">
      <c r="A272" s="3">
        <v>102602</v>
      </c>
      <c r="B272" s="3">
        <v>200332</v>
      </c>
      <c r="C272" s="3" t="s">
        <v>659</v>
      </c>
      <c r="D272" s="3"/>
      <c r="E272" s="4" t="str">
        <f t="shared" si="4"/>
        <v xml:space="preserve">102602 - IOTALAMATO DE MEGLUMINA 60% X 50 ML FCO - </v>
      </c>
    </row>
    <row r="273" spans="1:5" x14ac:dyDescent="0.25">
      <c r="A273" s="3">
        <v>929603</v>
      </c>
      <c r="B273" s="3">
        <v>200277</v>
      </c>
      <c r="C273" s="3" t="s">
        <v>660</v>
      </c>
      <c r="D273" s="3"/>
      <c r="E273" s="4" t="str">
        <f t="shared" si="4"/>
        <v xml:space="preserve">929603 - IOVERSOL 240 X 125 ML JERINGA PRELLENADA - </v>
      </c>
    </row>
    <row r="274" spans="1:5" x14ac:dyDescent="0.25">
      <c r="A274" s="3">
        <v>2746104</v>
      </c>
      <c r="B274" s="3">
        <v>200278</v>
      </c>
      <c r="C274" s="3" t="s">
        <v>661</v>
      </c>
      <c r="D274" s="3"/>
      <c r="E274" s="4" t="str">
        <f t="shared" si="4"/>
        <v xml:space="preserve">2746104 - IOVERSOL 320 MG X 100 ML FCO - </v>
      </c>
    </row>
    <row r="275" spans="1:5" x14ac:dyDescent="0.25">
      <c r="A275" s="3">
        <v>2746103</v>
      </c>
      <c r="B275" s="3">
        <v>200279</v>
      </c>
      <c r="C275" s="3" t="s">
        <v>662</v>
      </c>
      <c r="D275" s="3"/>
      <c r="E275" s="4" t="str">
        <f t="shared" si="4"/>
        <v xml:space="preserve">2746103 - IOVERSOL 320 MG X 50 ML FCO - </v>
      </c>
    </row>
    <row r="276" spans="1:5" x14ac:dyDescent="0.25">
      <c r="A276" s="3">
        <v>2746101</v>
      </c>
      <c r="B276" s="3">
        <v>200280</v>
      </c>
      <c r="C276" s="3" t="s">
        <v>663</v>
      </c>
      <c r="D276" s="3"/>
      <c r="E276" s="4" t="str">
        <f t="shared" si="4"/>
        <v xml:space="preserve">2746101 - IOVERSOL 320 X 125 ML JERINGA PRELLENADA - </v>
      </c>
    </row>
    <row r="277" spans="1:5" x14ac:dyDescent="0.25">
      <c r="A277" s="3">
        <v>1128603</v>
      </c>
      <c r="B277" s="3">
        <v>200282</v>
      </c>
      <c r="C277" s="3" t="s">
        <v>664</v>
      </c>
      <c r="D277" s="3"/>
      <c r="E277" s="4" t="str">
        <f t="shared" si="4"/>
        <v xml:space="preserve">1128603 - IOVERSOL 350 X 125 ML JERINGA PRELLENADA - </v>
      </c>
    </row>
    <row r="278" spans="1:5" x14ac:dyDescent="0.25">
      <c r="A278" s="3">
        <v>1128601</v>
      </c>
      <c r="B278" s="3">
        <v>200281</v>
      </c>
      <c r="C278" s="3" t="s">
        <v>403</v>
      </c>
      <c r="D278" s="3"/>
      <c r="E278" s="4" t="str">
        <f t="shared" si="4"/>
        <v xml:space="preserve">1128601 - IOVERSOL 350 X 50 ML FRASCO AMPOLLA - </v>
      </c>
    </row>
    <row r="279" spans="1:5" x14ac:dyDescent="0.25">
      <c r="A279" s="3">
        <v>42303</v>
      </c>
      <c r="B279" s="3">
        <v>200283</v>
      </c>
      <c r="C279" s="3" t="s">
        <v>665</v>
      </c>
      <c r="D279" s="3"/>
      <c r="E279" s="4" t="str">
        <f t="shared" si="4"/>
        <v xml:space="preserve">42303 - IPRATROPIO BROMURO X 20 ML GOTAS NEB - </v>
      </c>
    </row>
    <row r="280" spans="1:5" x14ac:dyDescent="0.25">
      <c r="A280" s="3">
        <v>1552604</v>
      </c>
      <c r="B280" s="3">
        <v>200284</v>
      </c>
      <c r="C280" s="3" t="s">
        <v>666</v>
      </c>
      <c r="D280" s="3"/>
      <c r="E280" s="4" t="str">
        <f t="shared" si="4"/>
        <v xml:space="preserve">1552604 - IPRATROPIO BROMURO X 250 DOSIS AEROSOL - </v>
      </c>
    </row>
    <row r="281" spans="1:5" x14ac:dyDescent="0.25">
      <c r="A281" s="3">
        <v>989403</v>
      </c>
      <c r="B281" s="3">
        <v>200285</v>
      </c>
      <c r="C281" s="3" t="s">
        <v>667</v>
      </c>
      <c r="D281" s="3"/>
      <c r="E281" s="4" t="str">
        <f t="shared" si="4"/>
        <v xml:space="preserve">989403 - ISONIAZIDA 300 MG COMP - </v>
      </c>
    </row>
    <row r="282" spans="1:5" x14ac:dyDescent="0.25">
      <c r="A282" s="3">
        <v>810101</v>
      </c>
      <c r="B282" s="3">
        <v>200286</v>
      </c>
      <c r="C282" s="3" t="s">
        <v>404</v>
      </c>
      <c r="D282" s="3"/>
      <c r="E282" s="4" t="str">
        <f t="shared" si="4"/>
        <v xml:space="preserve">810101 - ISOPROTERENOL 1 MG/5 ML AMP. - </v>
      </c>
    </row>
    <row r="283" spans="1:5" x14ac:dyDescent="0.25">
      <c r="A283" s="3">
        <v>2148101</v>
      </c>
      <c r="B283" s="3">
        <v>200287</v>
      </c>
      <c r="C283" s="3" t="s">
        <v>668</v>
      </c>
      <c r="D283" s="3"/>
      <c r="E283" s="4" t="str">
        <f t="shared" si="4"/>
        <v xml:space="preserve">2148101 - ISOSORBIDE DINITRATO 5 MG COMP SUBLINGUAL - </v>
      </c>
    </row>
    <row r="284" spans="1:5" x14ac:dyDescent="0.25">
      <c r="A284" s="3">
        <v>270001</v>
      </c>
      <c r="B284" s="3">
        <v>200288</v>
      </c>
      <c r="C284" s="3" t="s">
        <v>669</v>
      </c>
      <c r="D284" s="3"/>
      <c r="E284" s="4" t="str">
        <f t="shared" si="4"/>
        <v xml:space="preserve">270001 - ISOSORBIDE MONONITRATO 20 MG COMP - </v>
      </c>
    </row>
    <row r="285" spans="1:5" x14ac:dyDescent="0.25">
      <c r="A285" s="3">
        <v>146101</v>
      </c>
      <c r="B285" s="3">
        <v>200290</v>
      </c>
      <c r="C285" s="3" t="s">
        <v>670</v>
      </c>
      <c r="D285" s="3"/>
      <c r="E285" s="4" t="str">
        <f t="shared" si="4"/>
        <v xml:space="preserve">146101 - ISOXUPRINA 10 MG COMP - </v>
      </c>
    </row>
    <row r="286" spans="1:5" x14ac:dyDescent="0.25">
      <c r="A286" s="3">
        <v>624704</v>
      </c>
      <c r="B286" s="3">
        <v>200289</v>
      </c>
      <c r="C286" s="3" t="s">
        <v>405</v>
      </c>
      <c r="D286" s="3"/>
      <c r="E286" s="4" t="str">
        <f t="shared" si="4"/>
        <v xml:space="preserve">624704 - ISOXUPRINA 10 MG/2ML AMPOLLA - </v>
      </c>
    </row>
    <row r="287" spans="1:5" x14ac:dyDescent="0.25">
      <c r="A287" s="3">
        <v>1160201</v>
      </c>
      <c r="B287" s="3">
        <v>200293</v>
      </c>
      <c r="C287" s="3" t="s">
        <v>671</v>
      </c>
      <c r="D287" s="3"/>
      <c r="E287" s="4" t="str">
        <f t="shared" si="4"/>
        <v xml:space="preserve">1160201 - KETOROLAC 10 MG COMP SUBLINGUAL - </v>
      </c>
    </row>
    <row r="288" spans="1:5" x14ac:dyDescent="0.25">
      <c r="A288" s="3">
        <v>1556203</v>
      </c>
      <c r="B288" s="3">
        <v>200294</v>
      </c>
      <c r="C288" s="3" t="s">
        <v>672</v>
      </c>
      <c r="D288" s="3"/>
      <c r="E288" s="4" t="str">
        <f t="shared" si="4"/>
        <v xml:space="preserve">1556203 - KETOROLAC 20 MG COMP - </v>
      </c>
    </row>
    <row r="289" spans="1:5" x14ac:dyDescent="0.25">
      <c r="A289" s="3">
        <v>139505</v>
      </c>
      <c r="B289" s="3">
        <v>200295</v>
      </c>
      <c r="C289" s="3" t="s">
        <v>406</v>
      </c>
      <c r="D289" s="3"/>
      <c r="E289" s="4" t="str">
        <f t="shared" si="4"/>
        <v xml:space="preserve">139505 - KETOROLAC 30 MG AMP - </v>
      </c>
    </row>
    <row r="290" spans="1:5" x14ac:dyDescent="0.25">
      <c r="A290" s="3">
        <v>1372901</v>
      </c>
      <c r="B290" s="3">
        <v>200296</v>
      </c>
      <c r="C290" s="3" t="s">
        <v>673</v>
      </c>
      <c r="D290" s="3"/>
      <c r="E290" s="4" t="str">
        <f t="shared" si="4"/>
        <v xml:space="preserve">1372901 - LABETALOL 200 MG COMP - </v>
      </c>
    </row>
    <row r="291" spans="1:5" x14ac:dyDescent="0.25">
      <c r="A291" s="3">
        <v>1372902</v>
      </c>
      <c r="B291" s="3">
        <v>200297</v>
      </c>
      <c r="C291" s="3" t="s">
        <v>407</v>
      </c>
      <c r="D291" s="3"/>
      <c r="E291" s="4" t="str">
        <f t="shared" si="4"/>
        <v xml:space="preserve">1372902 - LABETALOL 5 MG/ML X 4 ML AMP - </v>
      </c>
    </row>
    <row r="292" spans="1:5" x14ac:dyDescent="0.25">
      <c r="A292" s="3">
        <v>243501</v>
      </c>
      <c r="B292" s="3">
        <v>200299</v>
      </c>
      <c r="C292" s="3" t="s">
        <v>674</v>
      </c>
      <c r="D292" s="3"/>
      <c r="E292" s="4" t="str">
        <f t="shared" si="4"/>
        <v xml:space="preserve">243501 - LACTULOSA X 120 ML JBE - </v>
      </c>
    </row>
    <row r="293" spans="1:5" x14ac:dyDescent="0.25">
      <c r="A293" s="3">
        <v>2190102</v>
      </c>
      <c r="B293" s="3">
        <v>200622</v>
      </c>
      <c r="C293" s="3" t="s">
        <v>675</v>
      </c>
      <c r="D293" s="3" t="s">
        <v>676</v>
      </c>
      <c r="E293" s="4" t="str">
        <f t="shared" si="4"/>
        <v>2190102 - LACOSAMIDA 100 MG COMP - lacotem</v>
      </c>
    </row>
    <row r="294" spans="1:5" x14ac:dyDescent="0.25">
      <c r="A294" s="3">
        <v>1506302</v>
      </c>
      <c r="B294" s="3">
        <v>200587</v>
      </c>
      <c r="C294" s="3" t="s">
        <v>677</v>
      </c>
      <c r="D294" s="3"/>
      <c r="E294" s="4" t="str">
        <f t="shared" si="4"/>
        <v xml:space="preserve">1506302 - LAMOTRIGINA 25 MG COMPRIMIDO - </v>
      </c>
    </row>
    <row r="295" spans="1:5" x14ac:dyDescent="0.25">
      <c r="A295" s="3">
        <v>637002</v>
      </c>
      <c r="B295" s="3">
        <v>200302</v>
      </c>
      <c r="C295" s="3" t="s">
        <v>678</v>
      </c>
      <c r="D295" s="3" t="s">
        <v>679</v>
      </c>
      <c r="E295" s="4" t="str">
        <f t="shared" si="4"/>
        <v>637002 - LEUCOVORINA 15MG COMPRIMIDO X 1 GENERICO - leucocalcin</v>
      </c>
    </row>
    <row r="296" spans="1:5" x14ac:dyDescent="0.25">
      <c r="A296" s="3">
        <v>2029105</v>
      </c>
      <c r="B296" s="3">
        <v>200539</v>
      </c>
      <c r="C296" s="3" t="s">
        <v>408</v>
      </c>
      <c r="D296" s="3"/>
      <c r="E296" s="4" t="str">
        <f t="shared" si="4"/>
        <v xml:space="preserve">2029105 - LEVETIRACETAM 100 MG FRASCO AMPOLLA - </v>
      </c>
    </row>
    <row r="297" spans="1:5" x14ac:dyDescent="0.25">
      <c r="A297" s="3">
        <v>2136901</v>
      </c>
      <c r="B297" s="3">
        <v>200303</v>
      </c>
      <c r="C297" s="3" t="s">
        <v>680</v>
      </c>
      <c r="D297" s="3"/>
      <c r="E297" s="4" t="str">
        <f t="shared" si="4"/>
        <v xml:space="preserve">2136901 - LEVETIRACETAM 500 MG COMP - </v>
      </c>
    </row>
    <row r="298" spans="1:5" x14ac:dyDescent="0.25">
      <c r="A298" s="3">
        <v>2447904</v>
      </c>
      <c r="B298" s="3">
        <v>200598</v>
      </c>
      <c r="C298" s="3" t="s">
        <v>681</v>
      </c>
      <c r="D298" s="3"/>
      <c r="E298" s="4" t="str">
        <f t="shared" si="4"/>
        <v xml:space="preserve">2447904 - LEVETIRACETAM 100 MG/ML SOL - </v>
      </c>
    </row>
    <row r="299" spans="1:5" x14ac:dyDescent="0.25">
      <c r="A299" s="3">
        <v>265101</v>
      </c>
      <c r="B299" s="3">
        <v>200304</v>
      </c>
      <c r="C299" s="3" t="s">
        <v>682</v>
      </c>
      <c r="D299" s="3"/>
      <c r="E299" s="4" t="str">
        <f t="shared" si="4"/>
        <v xml:space="preserve">265101 - LEVODOPA + BENSERAZIDA 250 MG COMP - </v>
      </c>
    </row>
    <row r="300" spans="1:5" x14ac:dyDescent="0.25">
      <c r="A300" s="3">
        <v>568801</v>
      </c>
      <c r="B300" s="3">
        <v>200305</v>
      </c>
      <c r="C300" s="3" t="s">
        <v>683</v>
      </c>
      <c r="D300" s="3"/>
      <c r="E300" s="4" t="str">
        <f t="shared" si="4"/>
        <v xml:space="preserve">568801 - LEVODOPA + CARBIDOPA 125 MG COMP - </v>
      </c>
    </row>
    <row r="301" spans="1:5" x14ac:dyDescent="0.25">
      <c r="A301" s="3">
        <v>248001</v>
      </c>
      <c r="B301" s="3">
        <v>200306</v>
      </c>
      <c r="C301" s="3" t="s">
        <v>684</v>
      </c>
      <c r="D301" s="3"/>
      <c r="E301" s="4" t="str">
        <f t="shared" si="4"/>
        <v xml:space="preserve">248001 - LEVODOPA + CARBIDOPA 250 MG COMP - </v>
      </c>
    </row>
    <row r="302" spans="1:5" x14ac:dyDescent="0.25">
      <c r="A302" s="3">
        <v>1706201</v>
      </c>
      <c r="B302" s="3">
        <v>200307</v>
      </c>
      <c r="C302" s="3" t="s">
        <v>685</v>
      </c>
      <c r="D302" s="3"/>
      <c r="E302" s="4" t="str">
        <f t="shared" si="4"/>
        <v xml:space="preserve">1706201 - LEVOFLOXACINA 500 MG COMP - </v>
      </c>
    </row>
    <row r="303" spans="1:5" x14ac:dyDescent="0.25">
      <c r="A303" s="3">
        <v>1638001</v>
      </c>
      <c r="B303" s="3">
        <v>200308</v>
      </c>
      <c r="C303" s="3" t="s">
        <v>409</v>
      </c>
      <c r="D303" s="3"/>
      <c r="E303" s="4" t="str">
        <f t="shared" si="4"/>
        <v xml:space="preserve">1638001 - LEVOFLOXACINA  500 MG/ 100 ML AMP - </v>
      </c>
    </row>
    <row r="304" spans="1:5" x14ac:dyDescent="0.25">
      <c r="A304" s="3">
        <v>315203</v>
      </c>
      <c r="B304" s="3">
        <v>200309</v>
      </c>
      <c r="C304" s="3" t="s">
        <v>686</v>
      </c>
      <c r="D304" s="3"/>
      <c r="E304" s="4" t="str">
        <f t="shared" si="4"/>
        <v xml:space="preserve">315203 - LEVOMEPROMAZINA 25 MG COMP - </v>
      </c>
    </row>
    <row r="305" spans="1:5" x14ac:dyDescent="0.25">
      <c r="A305" s="3">
        <v>592801</v>
      </c>
      <c r="B305" s="3"/>
      <c r="C305" s="3" t="s">
        <v>687</v>
      </c>
      <c r="D305" s="3" t="s">
        <v>688</v>
      </c>
      <c r="E305" s="4" t="str">
        <f t="shared" si="4"/>
        <v>592801 - LEVOMEPROMAZINA 2 MG COMP - togrel</v>
      </c>
    </row>
    <row r="306" spans="1:5" x14ac:dyDescent="0.25">
      <c r="A306" s="3">
        <v>2827901</v>
      </c>
      <c r="B306" s="3">
        <v>200310</v>
      </c>
      <c r="C306" s="3" t="s">
        <v>410</v>
      </c>
      <c r="D306" s="3"/>
      <c r="E306" s="4" t="str">
        <f t="shared" si="4"/>
        <v xml:space="preserve">2827901 - LEVOMEPROMAZINA 25 MG/ML AMP - </v>
      </c>
    </row>
    <row r="307" spans="1:5" x14ac:dyDescent="0.25">
      <c r="A307" s="3">
        <v>497101</v>
      </c>
      <c r="B307" s="3">
        <v>200311</v>
      </c>
      <c r="C307" s="3" t="s">
        <v>689</v>
      </c>
      <c r="D307" s="3"/>
      <c r="E307" s="4" t="str">
        <f t="shared" si="4"/>
        <v xml:space="preserve">497101 - LEVOTIROXINA 100 MCG COMP - </v>
      </c>
    </row>
    <row r="308" spans="1:5" x14ac:dyDescent="0.25">
      <c r="A308" s="3">
        <v>1799801</v>
      </c>
      <c r="B308" s="3">
        <v>200312</v>
      </c>
      <c r="C308" s="3" t="s">
        <v>411</v>
      </c>
      <c r="D308" s="3"/>
      <c r="E308" s="4" t="str">
        <f t="shared" si="4"/>
        <v xml:space="preserve">1799801 - LEVOTIROXINA 200 MCG AMP - </v>
      </c>
    </row>
    <row r="309" spans="1:5" x14ac:dyDescent="0.25">
      <c r="A309" s="3">
        <v>704802</v>
      </c>
      <c r="B309" s="3">
        <v>200313</v>
      </c>
      <c r="C309" s="3" t="s">
        <v>690</v>
      </c>
      <c r="D309" s="3"/>
      <c r="E309" s="4" t="str">
        <f t="shared" si="4"/>
        <v xml:space="preserve">704802 - LEVOTIROXINA 50 MCG COMP - </v>
      </c>
    </row>
    <row r="310" spans="1:5" x14ac:dyDescent="0.25">
      <c r="A310" s="3">
        <v>589509</v>
      </c>
      <c r="B310" s="3">
        <v>250007</v>
      </c>
      <c r="C310" s="3" t="s">
        <v>691</v>
      </c>
      <c r="D310" s="3"/>
      <c r="E310" s="4" t="str">
        <f t="shared" si="4"/>
        <v xml:space="preserve">589509 - LIDOCAINA  2 %. JALEA X 25 ML - </v>
      </c>
    </row>
    <row r="311" spans="1:5" x14ac:dyDescent="0.25">
      <c r="A311" s="3">
        <v>2933501</v>
      </c>
      <c r="B311" s="3">
        <v>250004</v>
      </c>
      <c r="C311" s="3" t="s">
        <v>692</v>
      </c>
      <c r="D311" s="3"/>
      <c r="E311" s="4" t="str">
        <f t="shared" si="4"/>
        <v xml:space="preserve">2933501 - LIDOCAINA + PRILOCAINA PARCHE - </v>
      </c>
    </row>
    <row r="312" spans="1:5" x14ac:dyDescent="0.25">
      <c r="A312" s="3">
        <v>2790501</v>
      </c>
      <c r="B312" s="3">
        <v>250008</v>
      </c>
      <c r="C312" s="3" t="s">
        <v>412</v>
      </c>
      <c r="D312" s="3"/>
      <c r="E312" s="4" t="str">
        <f t="shared" si="4"/>
        <v xml:space="preserve">2790501 - LIDOCAINA 2% C/E X 20 ML FCO-AMP - </v>
      </c>
    </row>
    <row r="313" spans="1:5" x14ac:dyDescent="0.25">
      <c r="A313" s="3">
        <v>1121311</v>
      </c>
      <c r="B313" s="3">
        <v>250009</v>
      </c>
      <c r="C313" s="3" t="s">
        <v>413</v>
      </c>
      <c r="D313" s="3"/>
      <c r="E313" s="4" t="str">
        <f t="shared" si="4"/>
        <v xml:space="preserve">1121311 - LIDOCAINA 2% S/E X 20 ML FCO-AMP - </v>
      </c>
    </row>
    <row r="314" spans="1:5" x14ac:dyDescent="0.25">
      <c r="A314" s="3">
        <v>1121310</v>
      </c>
      <c r="B314" s="3">
        <v>250006</v>
      </c>
      <c r="C314" s="3" t="s">
        <v>414</v>
      </c>
      <c r="D314" s="3"/>
      <c r="E314" s="4" t="str">
        <f t="shared" si="4"/>
        <v xml:space="preserve">1121310 - LIDOCAINA 2% X 5 ML AMP - </v>
      </c>
    </row>
    <row r="315" spans="1:5" x14ac:dyDescent="0.25">
      <c r="A315" s="3">
        <v>1201701</v>
      </c>
      <c r="B315" s="3">
        <v>250003</v>
      </c>
      <c r="C315" s="3" t="s">
        <v>693</v>
      </c>
      <c r="D315" s="3"/>
      <c r="E315" s="4" t="str">
        <f t="shared" si="4"/>
        <v xml:space="preserve">1201701 - LIDOCAINA 4% SN TOPICA X 25 ML - </v>
      </c>
    </row>
    <row r="316" spans="1:5" x14ac:dyDescent="0.25">
      <c r="A316" s="3">
        <v>1201601</v>
      </c>
      <c r="B316" s="3">
        <v>250005</v>
      </c>
      <c r="C316" s="3" t="s">
        <v>694</v>
      </c>
      <c r="D316" s="3"/>
      <c r="E316" s="4" t="str">
        <f t="shared" si="4"/>
        <v xml:space="preserve">1201601 - LIDOCAINA SPRAY 10% X 50 G - </v>
      </c>
    </row>
    <row r="317" spans="1:5" x14ac:dyDescent="0.25">
      <c r="A317" s="3">
        <v>1876301</v>
      </c>
      <c r="B317" s="3">
        <v>250010</v>
      </c>
      <c r="C317" s="3" t="s">
        <v>695</v>
      </c>
      <c r="D317" s="3"/>
      <c r="E317" s="4" t="str">
        <f t="shared" si="4"/>
        <v xml:space="preserve">1876301 - LIDOCAINA VISCOSA 2% X 50 ML - </v>
      </c>
    </row>
    <row r="318" spans="1:5" x14ac:dyDescent="0.25">
      <c r="A318" s="3">
        <v>1260501</v>
      </c>
      <c r="B318" s="3">
        <v>200314</v>
      </c>
      <c r="C318" s="3" t="s">
        <v>415</v>
      </c>
      <c r="D318" s="3"/>
      <c r="E318" s="4" t="str">
        <f t="shared" si="4"/>
        <v xml:space="preserve">1260501 - LINEZOLID 600 MG/ 300ML AMP - </v>
      </c>
    </row>
    <row r="319" spans="1:5" x14ac:dyDescent="0.25">
      <c r="A319" s="3">
        <v>912101</v>
      </c>
      <c r="B319" s="3">
        <v>200317</v>
      </c>
      <c r="C319" s="3" t="s">
        <v>696</v>
      </c>
      <c r="D319" s="3"/>
      <c r="E319" s="4" t="str">
        <f t="shared" si="4"/>
        <v xml:space="preserve">912101 - LOPERAMIDA 2 MG COMP - </v>
      </c>
    </row>
    <row r="320" spans="1:5" x14ac:dyDescent="0.25">
      <c r="A320" s="3">
        <v>15001</v>
      </c>
      <c r="B320" s="3">
        <v>200318</v>
      </c>
      <c r="C320" s="3" t="s">
        <v>697</v>
      </c>
      <c r="D320" s="3"/>
      <c r="E320" s="4" t="str">
        <f t="shared" si="4"/>
        <v xml:space="preserve">15001 - LORATADINA 10 MG COMP - </v>
      </c>
    </row>
    <row r="321" spans="1:5" x14ac:dyDescent="0.25">
      <c r="A321" s="3">
        <v>151307</v>
      </c>
      <c r="B321" s="3">
        <v>200319</v>
      </c>
      <c r="C321" s="3" t="s">
        <v>698</v>
      </c>
      <c r="D321" s="3"/>
      <c r="E321" s="4" t="str">
        <f t="shared" si="4"/>
        <v xml:space="preserve">151307 - LORAZEPAM 1 MG COMP - </v>
      </c>
    </row>
    <row r="322" spans="1:5" x14ac:dyDescent="0.25">
      <c r="A322" s="3">
        <v>441916</v>
      </c>
      <c r="B322" s="3">
        <v>200320</v>
      </c>
      <c r="C322" s="3" t="s">
        <v>699</v>
      </c>
      <c r="D322" s="3"/>
      <c r="E322" s="4" t="str">
        <f t="shared" si="4"/>
        <v xml:space="preserve">441916 - LORAZEPAM 1 MG COMP SUBLINGUAL - </v>
      </c>
    </row>
    <row r="323" spans="1:5" x14ac:dyDescent="0.25">
      <c r="A323" s="3">
        <v>151309</v>
      </c>
      <c r="B323" s="3">
        <v>200322</v>
      </c>
      <c r="C323" s="3" t="s">
        <v>700</v>
      </c>
      <c r="D323" s="3"/>
      <c r="E323" s="4" t="str">
        <f t="shared" ref="E323:E386" si="5">_xlfn.CONCAT(A323, " - ",C323, " - ",D323)</f>
        <v xml:space="preserve">151309 - LORAZEPAM 2 MG COMP - </v>
      </c>
    </row>
    <row r="324" spans="1:5" x14ac:dyDescent="0.25">
      <c r="A324" s="3">
        <v>261607</v>
      </c>
      <c r="B324" s="3">
        <v>200324</v>
      </c>
      <c r="C324" s="3" t="s">
        <v>416</v>
      </c>
      <c r="D324" s="3"/>
      <c r="E324" s="4" t="str">
        <f t="shared" si="5"/>
        <v xml:space="preserve">261607 - LORAZEPAM  4 MG AMP - </v>
      </c>
    </row>
    <row r="325" spans="1:5" x14ac:dyDescent="0.25">
      <c r="A325" s="3">
        <v>2575901</v>
      </c>
      <c r="B325" s="3">
        <v>200325</v>
      </c>
      <c r="C325" s="3" t="s">
        <v>701</v>
      </c>
      <c r="D325" s="3"/>
      <c r="E325" s="4" t="str">
        <f t="shared" si="5"/>
        <v xml:space="preserve">2575901 - LOSARTAN 50 MG COMP - </v>
      </c>
    </row>
    <row r="326" spans="1:5" x14ac:dyDescent="0.25">
      <c r="A326" s="3">
        <v>216701</v>
      </c>
      <c r="B326" s="3">
        <v>200326</v>
      </c>
      <c r="C326" s="3" t="s">
        <v>702</v>
      </c>
      <c r="D326" s="3"/>
      <c r="E326" s="4" t="str">
        <f t="shared" si="5"/>
        <v xml:space="preserve">216701 - MAGNESIO CITRATO COMP - </v>
      </c>
    </row>
    <row r="327" spans="1:5" x14ac:dyDescent="0.25">
      <c r="A327" s="3">
        <v>7000102</v>
      </c>
      <c r="B327" s="3">
        <v>200329</v>
      </c>
      <c r="C327" s="3" t="s">
        <v>703</v>
      </c>
      <c r="D327" s="3"/>
      <c r="E327" s="4" t="str">
        <f t="shared" si="5"/>
        <v xml:space="preserve">7000102 - MANZANILLA 50GR SOBRES - </v>
      </c>
    </row>
    <row r="328" spans="1:5" x14ac:dyDescent="0.25">
      <c r="A328" s="3">
        <v>509601</v>
      </c>
      <c r="B328" s="3">
        <v>200331</v>
      </c>
      <c r="C328" s="3" t="s">
        <v>704</v>
      </c>
      <c r="D328" s="3"/>
      <c r="E328" s="4" t="str">
        <f t="shared" si="5"/>
        <v xml:space="preserve">509601 - MEBENDAZOL 200 MG COMP - </v>
      </c>
    </row>
    <row r="329" spans="1:5" x14ac:dyDescent="0.25">
      <c r="A329" s="3">
        <v>736402</v>
      </c>
      <c r="B329" s="3">
        <v>600382</v>
      </c>
      <c r="C329" s="3" t="s">
        <v>705</v>
      </c>
      <c r="D329" s="3"/>
      <c r="E329" s="4" t="str">
        <f t="shared" si="5"/>
        <v xml:space="preserve">736402 - MEMBRANA DE COLAGENO 10 X 10 - </v>
      </c>
    </row>
    <row r="330" spans="1:5" x14ac:dyDescent="0.25">
      <c r="A330" s="3">
        <v>1254708</v>
      </c>
      <c r="B330" s="3">
        <v>200338</v>
      </c>
      <c r="C330" s="3" t="s">
        <v>706</v>
      </c>
      <c r="D330" s="3"/>
      <c r="E330" s="4" t="str">
        <f t="shared" si="5"/>
        <v xml:space="preserve">1254708 - MEPREDNISONA 4 MG COMP - </v>
      </c>
    </row>
    <row r="331" spans="1:5" x14ac:dyDescent="0.25">
      <c r="A331" s="3">
        <v>2577503</v>
      </c>
      <c r="B331" s="3">
        <v>200337</v>
      </c>
      <c r="C331" s="3" t="s">
        <v>707</v>
      </c>
      <c r="D331" s="3"/>
      <c r="E331" s="4" t="str">
        <f t="shared" si="5"/>
        <v xml:space="preserve">2577503 - MEPREDNISONA 40 MG COMP - </v>
      </c>
    </row>
    <row r="332" spans="1:5" x14ac:dyDescent="0.25">
      <c r="A332" s="3">
        <v>105302</v>
      </c>
      <c r="B332" s="3">
        <v>200339</v>
      </c>
      <c r="C332" s="3" t="s">
        <v>708</v>
      </c>
      <c r="D332" s="3"/>
      <c r="E332" s="4" t="str">
        <f t="shared" si="5"/>
        <v xml:space="preserve">105302 - MEPREDNISONA 8 MG COMP - </v>
      </c>
    </row>
    <row r="333" spans="1:5" x14ac:dyDescent="0.25">
      <c r="A333" s="3">
        <v>119807</v>
      </c>
      <c r="B333" s="3">
        <v>200336</v>
      </c>
      <c r="C333" s="3" t="s">
        <v>709</v>
      </c>
      <c r="D333" s="3"/>
      <c r="E333" s="4" t="str">
        <f t="shared" si="5"/>
        <v xml:space="preserve">119807 - MEPREDNISONA X 20 ML GOTAS - </v>
      </c>
    </row>
    <row r="334" spans="1:5" x14ac:dyDescent="0.25">
      <c r="A334" s="3">
        <v>1698605</v>
      </c>
      <c r="B334" s="3">
        <v>200340</v>
      </c>
      <c r="C334" s="3" t="s">
        <v>417</v>
      </c>
      <c r="D334" s="3"/>
      <c r="E334" s="4" t="str">
        <f t="shared" si="5"/>
        <v xml:space="preserve">1698605 - MEROPENEM 500 MG FCO-AMP - </v>
      </c>
    </row>
    <row r="335" spans="1:5" x14ac:dyDescent="0.25">
      <c r="A335" s="3">
        <v>81101</v>
      </c>
      <c r="B335" s="3">
        <v>200341</v>
      </c>
      <c r="C335" s="3" t="s">
        <v>710</v>
      </c>
      <c r="D335" s="3"/>
      <c r="E335" s="4" t="str">
        <f t="shared" si="5"/>
        <v xml:space="preserve">81101 - MESALAZINA 400 MG COMP - </v>
      </c>
    </row>
    <row r="336" spans="1:5" x14ac:dyDescent="0.25">
      <c r="A336" s="3">
        <v>1343108</v>
      </c>
      <c r="B336" s="3">
        <v>200342</v>
      </c>
      <c r="C336" s="3" t="s">
        <v>711</v>
      </c>
      <c r="D336" s="3"/>
      <c r="E336" s="4" t="str">
        <f t="shared" si="5"/>
        <v xml:space="preserve">1343108 - METADONA 5 MG COMP - </v>
      </c>
    </row>
    <row r="337" spans="1:5" x14ac:dyDescent="0.25">
      <c r="A337" s="3">
        <v>1394301</v>
      </c>
      <c r="B337" s="3">
        <v>200343</v>
      </c>
      <c r="C337" s="3" t="s">
        <v>418</v>
      </c>
      <c r="D337" s="3"/>
      <c r="E337" s="4" t="str">
        <f t="shared" si="5"/>
        <v xml:space="preserve">1394301 - METARAMINOL AMP - </v>
      </c>
    </row>
    <row r="338" spans="1:5" x14ac:dyDescent="0.25">
      <c r="A338" s="3">
        <v>117202</v>
      </c>
      <c r="B338" s="3">
        <v>200344</v>
      </c>
      <c r="C338" s="3" t="s">
        <v>712</v>
      </c>
      <c r="D338" s="3"/>
      <c r="E338" s="4" t="str">
        <f t="shared" si="5"/>
        <v xml:space="preserve">117202 - METFORMINA 500 MG COMP - </v>
      </c>
    </row>
    <row r="339" spans="1:5" x14ac:dyDescent="0.25">
      <c r="A339" s="3">
        <v>544901</v>
      </c>
      <c r="B339" s="3">
        <v>200345</v>
      </c>
      <c r="C339" s="3" t="s">
        <v>713</v>
      </c>
      <c r="D339" s="3"/>
      <c r="E339" s="4" t="str">
        <f t="shared" si="5"/>
        <v xml:space="preserve">544901 - METFORMINA 850 MG  COMP AP - </v>
      </c>
    </row>
    <row r="340" spans="1:5" x14ac:dyDescent="0.25">
      <c r="A340" s="3">
        <v>2461502</v>
      </c>
      <c r="B340" s="3">
        <v>200346</v>
      </c>
      <c r="C340" s="3" t="s">
        <v>714</v>
      </c>
      <c r="D340" s="3"/>
      <c r="E340" s="4" t="str">
        <f t="shared" si="5"/>
        <v xml:space="preserve">2461502 - METILDOPA 500 MG COMP - </v>
      </c>
    </row>
    <row r="341" spans="1:5" x14ac:dyDescent="0.25">
      <c r="A341" s="3">
        <v>2461501</v>
      </c>
      <c r="B341" s="3">
        <v>200347</v>
      </c>
      <c r="C341" s="3" t="s">
        <v>715</v>
      </c>
      <c r="D341" s="3"/>
      <c r="E341" s="4" t="str">
        <f t="shared" si="5"/>
        <v xml:space="preserve">2461501 - METILDOPA  250 MG COMP - </v>
      </c>
    </row>
    <row r="342" spans="1:5" x14ac:dyDescent="0.25">
      <c r="A342" s="3">
        <v>1957501</v>
      </c>
      <c r="B342" s="3">
        <v>200348</v>
      </c>
      <c r="C342" s="3" t="s">
        <v>419</v>
      </c>
      <c r="D342" s="3"/>
      <c r="E342" s="4" t="str">
        <f t="shared" si="5"/>
        <v xml:space="preserve">1957501 - METILPREDNISOLONA  500  MG FCO-AMP - </v>
      </c>
    </row>
    <row r="343" spans="1:5" x14ac:dyDescent="0.25">
      <c r="A343" s="3">
        <v>1787202</v>
      </c>
      <c r="B343" s="3">
        <v>200349</v>
      </c>
      <c r="C343" s="3" t="s">
        <v>420</v>
      </c>
      <c r="D343" s="3"/>
      <c r="E343" s="4" t="str">
        <f t="shared" si="5"/>
        <v xml:space="preserve">1787202 - METOCLOPRAMIDA  10 MG/2 ML AMP - </v>
      </c>
    </row>
    <row r="344" spans="1:5" x14ac:dyDescent="0.25">
      <c r="A344" s="3">
        <v>374106</v>
      </c>
      <c r="B344" s="3">
        <v>200350</v>
      </c>
      <c r="C344" s="3" t="s">
        <v>716</v>
      </c>
      <c r="D344" s="3"/>
      <c r="E344" s="4" t="str">
        <f t="shared" si="5"/>
        <v xml:space="preserve">374106 - METOCLOPRAMIDA 10 MG COMP - </v>
      </c>
    </row>
    <row r="345" spans="1:5" x14ac:dyDescent="0.25">
      <c r="A345" s="3">
        <v>768001</v>
      </c>
      <c r="B345" s="3">
        <v>200351</v>
      </c>
      <c r="C345" s="3" t="s">
        <v>717</v>
      </c>
      <c r="D345" s="3"/>
      <c r="E345" s="4" t="str">
        <f t="shared" si="5"/>
        <v xml:space="preserve">768001 - METOCLOPRAMIDA 10 MG COMP SUBLINGUAL - </v>
      </c>
    </row>
    <row r="346" spans="1:5" x14ac:dyDescent="0.25">
      <c r="A346" s="3">
        <v>374108</v>
      </c>
      <c r="B346" s="3">
        <v>200352</v>
      </c>
      <c r="C346" s="3" t="s">
        <v>718</v>
      </c>
      <c r="D346" s="3"/>
      <c r="E346" s="4" t="str">
        <f t="shared" si="5"/>
        <v xml:space="preserve">374108 - METOCLOPRAMIDA 2 MG/ ML X 20 ML GOTAS - </v>
      </c>
    </row>
    <row r="347" spans="1:5" x14ac:dyDescent="0.25">
      <c r="A347" s="3">
        <v>374101</v>
      </c>
      <c r="B347" s="3">
        <v>200353</v>
      </c>
      <c r="C347" s="3" t="s">
        <v>719</v>
      </c>
      <c r="D347" s="3"/>
      <c r="E347" s="4" t="str">
        <f t="shared" si="5"/>
        <v xml:space="preserve">374101 - METOCLOPRAMIDA 5 MG/ML X 20 ML GOTAS - </v>
      </c>
    </row>
    <row r="348" spans="1:5" x14ac:dyDescent="0.25">
      <c r="A348" s="3">
        <v>277301</v>
      </c>
      <c r="B348" s="3">
        <v>200354</v>
      </c>
      <c r="C348" s="3" t="s">
        <v>421</v>
      </c>
      <c r="D348" s="3"/>
      <c r="E348" s="4" t="str">
        <f t="shared" si="5"/>
        <v xml:space="preserve">277301 - METRONIDAZOL 500 MG AMP - </v>
      </c>
    </row>
    <row r="349" spans="1:5" x14ac:dyDescent="0.25">
      <c r="A349" s="3">
        <v>575701</v>
      </c>
      <c r="B349" s="3">
        <v>200355</v>
      </c>
      <c r="C349" s="3" t="s">
        <v>720</v>
      </c>
      <c r="D349" s="3"/>
      <c r="E349" s="4" t="str">
        <f t="shared" si="5"/>
        <v xml:space="preserve">575701 - METRONIDAZOL 500 MG COMP - </v>
      </c>
    </row>
    <row r="350" spans="1:5" x14ac:dyDescent="0.25">
      <c r="A350" s="3">
        <v>175502</v>
      </c>
      <c r="B350" s="3">
        <v>200356</v>
      </c>
      <c r="C350" s="3" t="s">
        <v>721</v>
      </c>
      <c r="D350" s="3"/>
      <c r="E350" s="4" t="str">
        <f t="shared" si="5"/>
        <v xml:space="preserve">175502 - METRONIDAZOL 500 MG OVULO - </v>
      </c>
    </row>
    <row r="351" spans="1:5" x14ac:dyDescent="0.25">
      <c r="A351" s="3">
        <v>683405</v>
      </c>
      <c r="B351" s="3">
        <v>200547</v>
      </c>
      <c r="C351" s="3" t="s">
        <v>722</v>
      </c>
      <c r="D351" s="3" t="s">
        <v>723</v>
      </c>
      <c r="E351" s="4" t="str">
        <f t="shared" si="5"/>
        <v>683405 - METRONIDAZOL EN GEL 0,75% X 30 GR X 1 HSJD - Rozex</v>
      </c>
    </row>
    <row r="352" spans="1:5" x14ac:dyDescent="0.25">
      <c r="A352" s="3">
        <v>531301</v>
      </c>
      <c r="B352" s="3">
        <v>200599</v>
      </c>
      <c r="C352" s="3" t="s">
        <v>422</v>
      </c>
      <c r="D352" s="3" t="s">
        <v>724</v>
      </c>
      <c r="E352" s="4" t="str">
        <f t="shared" si="5"/>
        <v>531301 - METROTEXATO 50 MG AMP X 1 GENERICO - metrotexato tuteur</v>
      </c>
    </row>
    <row r="353" spans="1:5" x14ac:dyDescent="0.25">
      <c r="A353" s="3">
        <v>278701</v>
      </c>
      <c r="B353" s="3">
        <v>200357</v>
      </c>
      <c r="C353" s="3" t="s">
        <v>725</v>
      </c>
      <c r="D353" s="3"/>
      <c r="E353" s="4" t="str">
        <f t="shared" si="5"/>
        <v xml:space="preserve">278701 - MICONAZOL 2% CR - </v>
      </c>
    </row>
    <row r="354" spans="1:5" x14ac:dyDescent="0.25">
      <c r="A354" s="3">
        <v>2765701</v>
      </c>
      <c r="B354" s="3">
        <v>200358</v>
      </c>
      <c r="C354" s="3" t="s">
        <v>423</v>
      </c>
      <c r="D354" s="3"/>
      <c r="E354" s="4" t="str">
        <f t="shared" si="5"/>
        <v xml:space="preserve">2765701 - MIDAZOLAM 15 MG /3ML AMPOLLA - </v>
      </c>
    </row>
    <row r="355" spans="1:5" x14ac:dyDescent="0.25">
      <c r="A355" s="3">
        <v>2237101</v>
      </c>
      <c r="B355" s="3">
        <v>200359</v>
      </c>
      <c r="C355" s="3" t="s">
        <v>424</v>
      </c>
      <c r="D355" s="3"/>
      <c r="E355" s="4" t="str">
        <f t="shared" si="5"/>
        <v xml:space="preserve">2237101 - MILRINONA 10 MG FCO-AMP - </v>
      </c>
    </row>
    <row r="356" spans="1:5" x14ac:dyDescent="0.25">
      <c r="A356" s="3">
        <v>2141601</v>
      </c>
      <c r="B356" s="3">
        <v>200360</v>
      </c>
      <c r="C356" s="3" t="s">
        <v>726</v>
      </c>
      <c r="D356" s="3" t="s">
        <v>727</v>
      </c>
      <c r="E356" s="4" t="str">
        <f t="shared" si="5"/>
        <v>2141601 - MINOCICLINA 100 MG - drenix</v>
      </c>
    </row>
    <row r="357" spans="1:5" x14ac:dyDescent="0.25">
      <c r="A357" s="3">
        <v>2778401</v>
      </c>
      <c r="B357" s="3">
        <v>200361</v>
      </c>
      <c r="C357" s="3" t="s">
        <v>425</v>
      </c>
      <c r="D357" s="3"/>
      <c r="E357" s="4" t="str">
        <f t="shared" si="5"/>
        <v xml:space="preserve">2778401 - MORFINA 10 MG / ML AMP - </v>
      </c>
    </row>
    <row r="358" spans="1:5" x14ac:dyDescent="0.25">
      <c r="A358" s="3">
        <v>525703</v>
      </c>
      <c r="B358" s="3">
        <v>300024</v>
      </c>
      <c r="C358" s="3" t="s">
        <v>728</v>
      </c>
      <c r="D358" s="3"/>
      <c r="E358" s="4" t="str">
        <f t="shared" si="5"/>
        <v xml:space="preserve">525703 - MORFINA 1mg / 1000 ml JARABE - </v>
      </c>
    </row>
    <row r="359" spans="1:5" x14ac:dyDescent="0.25">
      <c r="A359" s="3">
        <v>1187808</v>
      </c>
      <c r="B359" s="3">
        <v>200362</v>
      </c>
      <c r="C359" s="3" t="s">
        <v>729</v>
      </c>
      <c r="D359" s="3"/>
      <c r="E359" s="4" t="str">
        <f t="shared" si="5"/>
        <v xml:space="preserve">1187808 - MOSAPRIDE 5 MG COMP - </v>
      </c>
    </row>
    <row r="360" spans="1:5" x14ac:dyDescent="0.25">
      <c r="A360" s="3">
        <v>946102</v>
      </c>
      <c r="B360" s="3">
        <v>200548</v>
      </c>
      <c r="C360" s="3" t="s">
        <v>730</v>
      </c>
      <c r="D360" s="3"/>
      <c r="E360" s="4" t="str">
        <f t="shared" si="5"/>
        <v xml:space="preserve">946102 - MUPIROCINA X 15 G UNG - </v>
      </c>
    </row>
    <row r="361" spans="1:5" x14ac:dyDescent="0.25">
      <c r="A361" s="3">
        <v>1554602</v>
      </c>
      <c r="B361" s="3">
        <v>200365</v>
      </c>
      <c r="C361" s="3" t="s">
        <v>426</v>
      </c>
      <c r="D361" s="3"/>
      <c r="E361" s="4" t="str">
        <f t="shared" si="5"/>
        <v xml:space="preserve">1554602 - NALBUFINA 10 MG/ML AMP - </v>
      </c>
    </row>
    <row r="362" spans="1:5" x14ac:dyDescent="0.25">
      <c r="A362" s="3">
        <v>1361001</v>
      </c>
      <c r="B362" s="3">
        <v>200366</v>
      </c>
      <c r="C362" s="3" t="s">
        <v>427</v>
      </c>
      <c r="D362" s="3"/>
      <c r="E362" s="4" t="str">
        <f t="shared" si="5"/>
        <v xml:space="preserve">1361001 - NALOXONA 0.4 MG/ML AMP - </v>
      </c>
    </row>
    <row r="363" spans="1:5" x14ac:dyDescent="0.25">
      <c r="A363" s="3">
        <v>293501</v>
      </c>
      <c r="B363" s="3">
        <v>200367</v>
      </c>
      <c r="C363" s="3" t="s">
        <v>731</v>
      </c>
      <c r="D363" s="3"/>
      <c r="E363" s="4" t="str">
        <f t="shared" si="5"/>
        <v xml:space="preserve">293501 - NAPROXENO 250 MG COMP - </v>
      </c>
    </row>
    <row r="364" spans="1:5" x14ac:dyDescent="0.25">
      <c r="A364" s="3">
        <v>1546204</v>
      </c>
      <c r="B364" s="3">
        <v>200369</v>
      </c>
      <c r="C364" s="3" t="s">
        <v>428</v>
      </c>
      <c r="D364" s="3"/>
      <c r="E364" s="4" t="str">
        <f t="shared" si="5"/>
        <v xml:space="preserve">1546204 - NEOSTIGMINA 0,5 MG AMP - </v>
      </c>
    </row>
    <row r="365" spans="1:5" x14ac:dyDescent="0.25">
      <c r="A365" s="3">
        <v>305004</v>
      </c>
      <c r="B365" s="3">
        <v>200370</v>
      </c>
      <c r="C365" s="3" t="s">
        <v>732</v>
      </c>
      <c r="D365" s="3"/>
      <c r="E365" s="4" t="str">
        <f t="shared" si="5"/>
        <v xml:space="preserve">305004 - NICOTINA PARCHE X 20 CM2 - </v>
      </c>
    </row>
    <row r="366" spans="1:5" x14ac:dyDescent="0.25">
      <c r="A366" s="3">
        <v>5301</v>
      </c>
      <c r="B366" s="3">
        <v>200372</v>
      </c>
      <c r="C366" s="3" t="s">
        <v>733</v>
      </c>
      <c r="D366" s="3"/>
      <c r="E366" s="4" t="str">
        <f t="shared" si="5"/>
        <v xml:space="preserve">5301 - NIFEDIPINA 20 MG COMP RTD - </v>
      </c>
    </row>
    <row r="367" spans="1:5" x14ac:dyDescent="0.25">
      <c r="A367" s="3">
        <v>482801</v>
      </c>
      <c r="B367" s="3">
        <v>200373</v>
      </c>
      <c r="C367" s="3" t="s">
        <v>734</v>
      </c>
      <c r="D367" s="3"/>
      <c r="E367" s="4" t="str">
        <f t="shared" si="5"/>
        <v xml:space="preserve">482801 - NIMODIPINA 30 MG COMP - </v>
      </c>
    </row>
    <row r="368" spans="1:5" x14ac:dyDescent="0.25">
      <c r="A368" s="3">
        <v>482803</v>
      </c>
      <c r="B368" s="3">
        <v>200374</v>
      </c>
      <c r="C368" s="3" t="s">
        <v>735</v>
      </c>
      <c r="D368" s="3"/>
      <c r="E368" s="4" t="str">
        <f t="shared" si="5"/>
        <v xml:space="preserve">482803 - NIMODIPINA 60 MG COMP - </v>
      </c>
    </row>
    <row r="369" spans="1:5" x14ac:dyDescent="0.25">
      <c r="A369" s="3">
        <v>1387501</v>
      </c>
      <c r="B369" s="3">
        <v>200375</v>
      </c>
      <c r="C369" s="3" t="s">
        <v>736</v>
      </c>
      <c r="D369" s="3"/>
      <c r="E369" s="4" t="str">
        <f t="shared" si="5"/>
        <v xml:space="preserve">1387501 - NISTATINA POMADA X 30 G - </v>
      </c>
    </row>
    <row r="370" spans="1:5" x14ac:dyDescent="0.25">
      <c r="A370" s="3">
        <v>1427702</v>
      </c>
      <c r="B370" s="3">
        <v>200376</v>
      </c>
      <c r="C370" s="3" t="s">
        <v>737</v>
      </c>
      <c r="D370" s="3"/>
      <c r="E370" s="4" t="str">
        <f t="shared" si="5"/>
        <v xml:space="preserve">1427702 - NISTATINA X 60 ML SUSP - </v>
      </c>
    </row>
    <row r="371" spans="1:5" x14ac:dyDescent="0.25">
      <c r="A371" s="3">
        <v>188502</v>
      </c>
      <c r="B371" s="3">
        <v>200377</v>
      </c>
      <c r="C371" s="3" t="s">
        <v>738</v>
      </c>
      <c r="D371" s="3"/>
      <c r="E371" s="4" t="str">
        <f t="shared" si="5"/>
        <v xml:space="preserve">188502 - NITROFURANTOINA 100 MG COMP - </v>
      </c>
    </row>
    <row r="372" spans="1:5" x14ac:dyDescent="0.25">
      <c r="A372" s="3">
        <v>589704</v>
      </c>
      <c r="B372" s="3">
        <v>200378</v>
      </c>
      <c r="C372" s="3" t="s">
        <v>739</v>
      </c>
      <c r="D372" s="3"/>
      <c r="E372" s="4" t="str">
        <f t="shared" si="5"/>
        <v xml:space="preserve">589704 - NITROFURAZONA x 20 APOSITOS - </v>
      </c>
    </row>
    <row r="373" spans="1:5" x14ac:dyDescent="0.25">
      <c r="A373" s="3">
        <v>524503</v>
      </c>
      <c r="B373" s="3">
        <v>200380</v>
      </c>
      <c r="C373" s="3" t="s">
        <v>429</v>
      </c>
      <c r="D373" s="3"/>
      <c r="E373" s="4" t="str">
        <f t="shared" si="5"/>
        <v xml:space="preserve">524503 - NITROGLICERINA 25 MG/ 5ML AMP - </v>
      </c>
    </row>
    <row r="374" spans="1:5" x14ac:dyDescent="0.25">
      <c r="A374" s="3">
        <v>307302</v>
      </c>
      <c r="B374" s="3">
        <v>200381</v>
      </c>
      <c r="C374" s="3" t="s">
        <v>430</v>
      </c>
      <c r="D374" s="3"/>
      <c r="E374" s="4" t="str">
        <f t="shared" si="5"/>
        <v xml:space="preserve">307302 - NITROPRUSIATO 50 MG FCO-AMP - </v>
      </c>
    </row>
    <row r="375" spans="1:5" x14ac:dyDescent="0.25">
      <c r="A375" s="3">
        <v>552701</v>
      </c>
      <c r="B375" s="3">
        <v>200382</v>
      </c>
      <c r="C375" s="3" t="s">
        <v>431</v>
      </c>
      <c r="D375" s="3"/>
      <c r="E375" s="4" t="str">
        <f t="shared" si="5"/>
        <v xml:space="preserve">552701 - NORADRENALINA 1 MG/ML AMP. - </v>
      </c>
    </row>
    <row r="376" spans="1:5" x14ac:dyDescent="0.25">
      <c r="A376" s="3">
        <v>1760004</v>
      </c>
      <c r="B376" s="3"/>
      <c r="C376" s="3" t="s">
        <v>740</v>
      </c>
      <c r="D376" s="3"/>
      <c r="E376" s="4" t="str">
        <f t="shared" si="5"/>
        <v xml:space="preserve">1760004 - NUTRILON PREMATUROS 1 X 70 M,L - </v>
      </c>
    </row>
    <row r="377" spans="1:5" x14ac:dyDescent="0.25">
      <c r="A377" s="3">
        <v>318201</v>
      </c>
      <c r="B377" s="3">
        <v>200386</v>
      </c>
      <c r="C377" s="3" t="s">
        <v>432</v>
      </c>
      <c r="D377" s="3"/>
      <c r="E377" s="4" t="str">
        <f t="shared" si="5"/>
        <v xml:space="preserve">318201 - OCITOCINA 5 UI/ML  AMP - </v>
      </c>
    </row>
    <row r="378" spans="1:5" x14ac:dyDescent="0.25">
      <c r="A378" s="3">
        <v>2349101</v>
      </c>
      <c r="B378" s="3">
        <v>200387</v>
      </c>
      <c r="C378" s="3" t="s">
        <v>433</v>
      </c>
      <c r="D378" s="3"/>
      <c r="E378" s="4" t="str">
        <f t="shared" si="5"/>
        <v xml:space="preserve">2349101 - OCTREOTIDE 0.10 MG AMP - </v>
      </c>
    </row>
    <row r="379" spans="1:5" x14ac:dyDescent="0.25">
      <c r="A379" s="3">
        <v>1002001</v>
      </c>
      <c r="B379" s="3">
        <v>200388</v>
      </c>
      <c r="C379" s="3" t="s">
        <v>741</v>
      </c>
      <c r="D379" s="3"/>
      <c r="E379" s="4" t="str">
        <f t="shared" si="5"/>
        <v xml:space="preserve">1002001 - OFLOXACINA 0,3% GOTAS OTICAS - </v>
      </c>
    </row>
    <row r="380" spans="1:5" x14ac:dyDescent="0.25">
      <c r="A380" s="3">
        <v>889406</v>
      </c>
      <c r="B380" s="3">
        <v>200389</v>
      </c>
      <c r="C380" s="3" t="s">
        <v>742</v>
      </c>
      <c r="D380" s="3"/>
      <c r="E380" s="4" t="str">
        <f t="shared" si="5"/>
        <v xml:space="preserve">889406 - OLANZAPINA 5 MG COMP - </v>
      </c>
    </row>
    <row r="381" spans="1:5" x14ac:dyDescent="0.25">
      <c r="A381" s="3">
        <v>1554201</v>
      </c>
      <c r="B381" s="3">
        <v>200390</v>
      </c>
      <c r="C381" s="3" t="s">
        <v>743</v>
      </c>
      <c r="D381" s="3"/>
      <c r="E381" s="4" t="str">
        <f t="shared" si="5"/>
        <v xml:space="preserve">1554201 - OLEO CALCARIO x 250 ml - </v>
      </c>
    </row>
    <row r="382" spans="1:5" x14ac:dyDescent="0.25">
      <c r="A382" s="3">
        <v>451306</v>
      </c>
      <c r="B382" s="3">
        <v>200391</v>
      </c>
      <c r="C382" s="3" t="s">
        <v>744</v>
      </c>
      <c r="D382" s="3"/>
      <c r="E382" s="4" t="str">
        <f t="shared" si="5"/>
        <v xml:space="preserve">451306 - OMEPRAZOL 10 MG COMP - </v>
      </c>
    </row>
    <row r="383" spans="1:5" x14ac:dyDescent="0.25">
      <c r="A383" s="3">
        <v>1116104</v>
      </c>
      <c r="B383" s="3">
        <v>200392</v>
      </c>
      <c r="C383" s="3" t="s">
        <v>745</v>
      </c>
      <c r="D383" s="3"/>
      <c r="E383" s="4" t="str">
        <f t="shared" si="5"/>
        <v xml:space="preserve">1116104 - OMEPRAZOL 20 MG CAP - </v>
      </c>
    </row>
    <row r="384" spans="1:5" x14ac:dyDescent="0.25">
      <c r="A384" s="3">
        <v>1338401</v>
      </c>
      <c r="B384" s="3">
        <v>200393</v>
      </c>
      <c r="C384" s="3" t="s">
        <v>434</v>
      </c>
      <c r="D384" s="3"/>
      <c r="E384" s="4" t="str">
        <f t="shared" si="5"/>
        <v xml:space="preserve">1338401 - OMEPRAZOL 40 MG FCO-AMP - </v>
      </c>
    </row>
    <row r="385" spans="1:5" x14ac:dyDescent="0.25">
      <c r="A385" s="3">
        <v>2364501</v>
      </c>
      <c r="B385" s="3">
        <v>200586</v>
      </c>
      <c r="C385" s="3" t="s">
        <v>746</v>
      </c>
      <c r="D385" s="3" t="s">
        <v>747</v>
      </c>
      <c r="E385" s="4" t="str">
        <f t="shared" si="5"/>
        <v>2364501 - OMEPRAZOL SUSP X 100 ML - ulcozol</v>
      </c>
    </row>
    <row r="386" spans="1:5" x14ac:dyDescent="0.25">
      <c r="A386" s="3">
        <v>659504</v>
      </c>
      <c r="B386" s="3">
        <v>200394</v>
      </c>
      <c r="C386" s="3" t="s">
        <v>435</v>
      </c>
      <c r="D386" s="3"/>
      <c r="E386" s="4" t="str">
        <f t="shared" si="5"/>
        <v xml:space="preserve">659504 - ONDANSETRON 8 MG AMP - </v>
      </c>
    </row>
    <row r="387" spans="1:5" x14ac:dyDescent="0.25">
      <c r="A387" s="3">
        <v>1007801</v>
      </c>
      <c r="B387" s="3">
        <v>200395</v>
      </c>
      <c r="C387" s="3" t="s">
        <v>748</v>
      </c>
      <c r="D387" s="3"/>
      <c r="E387" s="4" t="str">
        <f t="shared" ref="E387:E450" si="6">_xlfn.CONCAT(A387, " - ",C387, " - ",D387)</f>
        <v xml:space="preserve">1007801 - ONDANSETRON 8 MG COMP - </v>
      </c>
    </row>
    <row r="388" spans="1:5" x14ac:dyDescent="0.25">
      <c r="A388" s="3">
        <v>1179301</v>
      </c>
      <c r="B388" s="3">
        <v>200397</v>
      </c>
      <c r="C388" s="3" t="s">
        <v>749</v>
      </c>
      <c r="D388" s="3"/>
      <c r="E388" s="4" t="str">
        <f t="shared" si="6"/>
        <v xml:space="preserve">1179301 - OSELTAMIVIR 75 MG CÁP - </v>
      </c>
    </row>
    <row r="389" spans="1:5" x14ac:dyDescent="0.25">
      <c r="A389" s="3">
        <v>727901</v>
      </c>
      <c r="B389" s="3"/>
      <c r="C389" s="3" t="s">
        <v>750</v>
      </c>
      <c r="D389" s="3"/>
      <c r="E389" s="4" t="str">
        <f t="shared" si="6"/>
        <v xml:space="preserve">727901 - OSMOLITE - </v>
      </c>
    </row>
    <row r="390" spans="1:5" x14ac:dyDescent="0.25">
      <c r="A390" s="3">
        <v>137303</v>
      </c>
      <c r="B390" s="3">
        <v>22174</v>
      </c>
      <c r="C390" s="3" t="s">
        <v>751</v>
      </c>
      <c r="D390" s="3" t="s">
        <v>752</v>
      </c>
      <c r="E390" s="4" t="str">
        <f t="shared" si="6"/>
        <v>137303 - OXIBUTININA 1 MG/ML JARABE - ditropan</v>
      </c>
    </row>
    <row r="391" spans="1:5" x14ac:dyDescent="0.25">
      <c r="A391" s="3">
        <v>137302</v>
      </c>
      <c r="B391" s="3">
        <v>200398</v>
      </c>
      <c r="C391" s="3" t="s">
        <v>753</v>
      </c>
      <c r="D391" s="3"/>
      <c r="E391" s="4" t="str">
        <f t="shared" si="6"/>
        <v xml:space="preserve">137302 - OXIBUTININA 5 MG COMP - </v>
      </c>
    </row>
    <row r="392" spans="1:5" x14ac:dyDescent="0.25">
      <c r="A392" s="3">
        <v>1603702</v>
      </c>
      <c r="B392" s="3">
        <v>200399</v>
      </c>
      <c r="C392" s="3" t="s">
        <v>436</v>
      </c>
      <c r="D392" s="3"/>
      <c r="E392" s="4" t="str">
        <f t="shared" si="6"/>
        <v xml:space="preserve">1603702 - PAMIDRONATO 90 MG FCO-AMP - </v>
      </c>
    </row>
    <row r="393" spans="1:5" x14ac:dyDescent="0.25">
      <c r="A393" s="3">
        <v>51901</v>
      </c>
      <c r="B393" s="3">
        <v>200400</v>
      </c>
      <c r="C393" s="3" t="s">
        <v>437</v>
      </c>
      <c r="D393" s="3"/>
      <c r="E393" s="4" t="str">
        <f t="shared" si="6"/>
        <v xml:space="preserve">51901 - PANCURONIO 4 MG AMP - </v>
      </c>
    </row>
    <row r="394" spans="1:5" x14ac:dyDescent="0.25">
      <c r="A394" s="3">
        <v>895501</v>
      </c>
      <c r="B394" s="3">
        <v>200403</v>
      </c>
      <c r="C394" s="3" t="s">
        <v>754</v>
      </c>
      <c r="D394" s="3"/>
      <c r="E394" s="4" t="str">
        <f t="shared" si="6"/>
        <v xml:space="preserve">895501 - PARACETAMOL 500 MG COMP - </v>
      </c>
    </row>
    <row r="395" spans="1:5" x14ac:dyDescent="0.25">
      <c r="A395" s="3">
        <v>2497501</v>
      </c>
      <c r="B395" s="3">
        <v>200901</v>
      </c>
      <c r="C395" s="3" t="s">
        <v>438</v>
      </c>
      <c r="D395" s="3"/>
      <c r="E395" s="4" t="str">
        <f t="shared" si="6"/>
        <v xml:space="preserve">2497501 - PARACETAMOL 1000 MG AMPOLLA X 100 ML - </v>
      </c>
    </row>
    <row r="396" spans="1:5" x14ac:dyDescent="0.25">
      <c r="A396" s="3">
        <v>429704</v>
      </c>
      <c r="B396" s="3">
        <v>200402</v>
      </c>
      <c r="C396" s="3" t="s">
        <v>755</v>
      </c>
      <c r="D396" s="3"/>
      <c r="E396" s="4" t="str">
        <f t="shared" si="6"/>
        <v xml:space="preserve">429704 - PARACETAMOL X 120 ML SN - </v>
      </c>
    </row>
    <row r="397" spans="1:5" x14ac:dyDescent="0.25">
      <c r="A397" s="3">
        <v>429701</v>
      </c>
      <c r="B397" s="3">
        <v>200401</v>
      </c>
      <c r="C397" s="3" t="s">
        <v>756</v>
      </c>
      <c r="D397" s="3"/>
      <c r="E397" s="4" t="str">
        <f t="shared" si="6"/>
        <v xml:space="preserve">429701 - PARACETAMOL X 20 ML GOTAS - </v>
      </c>
    </row>
    <row r="398" spans="1:5" x14ac:dyDescent="0.25">
      <c r="A398" s="3">
        <v>1309301</v>
      </c>
      <c r="B398" s="3">
        <v>200404</v>
      </c>
      <c r="C398" s="3" t="s">
        <v>757</v>
      </c>
      <c r="D398" s="3"/>
      <c r="E398" s="4" t="str">
        <f t="shared" si="6"/>
        <v xml:space="preserve">1309301 - PAROXETINA 20 MG COMP - </v>
      </c>
    </row>
    <row r="399" spans="1:5" x14ac:dyDescent="0.25">
      <c r="A399" s="3">
        <v>337606</v>
      </c>
      <c r="B399" s="3">
        <v>500058</v>
      </c>
      <c r="C399" s="3" t="s">
        <v>758</v>
      </c>
      <c r="D399" s="3" t="s">
        <v>759</v>
      </c>
      <c r="E399" s="4" t="str">
        <f t="shared" si="6"/>
        <v>337606 - FENOXIMETILPENICILINA 60000 UI/ML JARABE X 1 HSJD - pen oral</v>
      </c>
    </row>
    <row r="400" spans="1:5" x14ac:dyDescent="0.25">
      <c r="A400" s="3">
        <v>337502</v>
      </c>
      <c r="B400" s="3">
        <v>200407</v>
      </c>
      <c r="C400" s="3" t="s">
        <v>439</v>
      </c>
      <c r="D400" s="3"/>
      <c r="E400" s="4" t="str">
        <f t="shared" si="6"/>
        <v xml:space="preserve">337502 - PENICILINA BENZATINICA 2400000 UI FCO-AMP - </v>
      </c>
    </row>
    <row r="401" spans="1:5" x14ac:dyDescent="0.25">
      <c r="A401" s="3">
        <v>935407</v>
      </c>
      <c r="B401" s="3">
        <v>200408</v>
      </c>
      <c r="C401" s="3" t="s">
        <v>440</v>
      </c>
      <c r="D401" s="3"/>
      <c r="E401" s="4" t="str">
        <f t="shared" si="6"/>
        <v xml:space="preserve">935407 - PENICILINA G SODICA 3000000 UI FCO-AMP - </v>
      </c>
    </row>
    <row r="402" spans="1:5" x14ac:dyDescent="0.25">
      <c r="A402" s="3">
        <v>23222101</v>
      </c>
      <c r="B402" s="3">
        <v>200409</v>
      </c>
      <c r="C402" s="3" t="s">
        <v>760</v>
      </c>
      <c r="D402" s="3"/>
      <c r="E402" s="4" t="str">
        <f t="shared" si="6"/>
        <v xml:space="preserve">23222101 - PENTOXIFILINA 400 MG COMP - </v>
      </c>
    </row>
    <row r="403" spans="1:5" x14ac:dyDescent="0.25">
      <c r="A403" s="3">
        <v>1087101</v>
      </c>
      <c r="B403" s="3">
        <v>200410</v>
      </c>
      <c r="C403" s="3" t="s">
        <v>761</v>
      </c>
      <c r="D403" s="3"/>
      <c r="E403" s="4" t="str">
        <f t="shared" si="6"/>
        <v xml:space="preserve">1087101 - PERMETRINA + BENZ DE SODIO X 100 ML LOCION - </v>
      </c>
    </row>
    <row r="404" spans="1:5" x14ac:dyDescent="0.25">
      <c r="A404" s="3">
        <v>8813</v>
      </c>
      <c r="B404" s="3">
        <v>200411</v>
      </c>
      <c r="C404" s="3" t="s">
        <v>762</v>
      </c>
      <c r="D404" s="3"/>
      <c r="E404" s="4" t="str">
        <f t="shared" si="6"/>
        <v xml:space="preserve">8813 - PICOSULFATO DE SODIO + ASOC X 180 ML EMULSIÓN - </v>
      </c>
    </row>
    <row r="405" spans="1:5" x14ac:dyDescent="0.25">
      <c r="A405" s="3">
        <v>1324803</v>
      </c>
      <c r="B405" s="3">
        <v>200413</v>
      </c>
      <c r="C405" s="3" t="s">
        <v>441</v>
      </c>
      <c r="D405" s="3"/>
      <c r="E405" s="4" t="str">
        <f t="shared" si="6"/>
        <v xml:space="preserve">1324803 - PIPERACILINA + TAZOBACTAM 4,5 G FCO-AMP - </v>
      </c>
    </row>
    <row r="406" spans="1:5" x14ac:dyDescent="0.25">
      <c r="A406" s="3">
        <v>115501</v>
      </c>
      <c r="B406" s="3">
        <v>200416</v>
      </c>
      <c r="C406" s="3" t="s">
        <v>763</v>
      </c>
      <c r="D406" s="3"/>
      <c r="E406" s="4" t="str">
        <f t="shared" si="6"/>
        <v xml:space="preserve">115501 - PIRIMETAMINA 25 MG COMP - </v>
      </c>
    </row>
    <row r="407" spans="1:5" x14ac:dyDescent="0.25">
      <c r="A407" s="3">
        <v>1430601</v>
      </c>
      <c r="B407" s="3">
        <v>200414</v>
      </c>
      <c r="C407" s="3" t="s">
        <v>764</v>
      </c>
      <c r="D407" s="3"/>
      <c r="E407" s="4" t="str">
        <f t="shared" si="6"/>
        <v xml:space="preserve">1430601 - PIRAZINAMIDA 250mg COMP - </v>
      </c>
    </row>
    <row r="408" spans="1:5" x14ac:dyDescent="0.25">
      <c r="A408" s="3">
        <v>8104</v>
      </c>
      <c r="B408" s="3">
        <v>200417</v>
      </c>
      <c r="C408" s="3" t="s">
        <v>442</v>
      </c>
      <c r="D408" s="3"/>
      <c r="E408" s="4" t="str">
        <f t="shared" si="6"/>
        <v xml:space="preserve">8104 - POLIDOCANOL 2% AMPOLLA - </v>
      </c>
    </row>
    <row r="409" spans="1:5" x14ac:dyDescent="0.25">
      <c r="A409" s="3">
        <v>679003</v>
      </c>
      <c r="B409" s="3">
        <v>200418</v>
      </c>
      <c r="C409" s="3" t="s">
        <v>765</v>
      </c>
      <c r="D409" s="3"/>
      <c r="E409" s="4" t="str">
        <f t="shared" si="6"/>
        <v xml:space="preserve">679003 - POLIESTIRENO SULFONATO DE CALCIO SOBRE - </v>
      </c>
    </row>
    <row r="410" spans="1:5" x14ac:dyDescent="0.25">
      <c r="A410" s="3">
        <v>101501</v>
      </c>
      <c r="B410" s="3">
        <v>200419</v>
      </c>
      <c r="C410" s="3" t="s">
        <v>766</v>
      </c>
      <c r="D410" s="3"/>
      <c r="E410" s="4" t="str">
        <f t="shared" si="6"/>
        <v xml:space="preserve">101501 - POLIETILENGLICOL 3350 X 4 L - </v>
      </c>
    </row>
    <row r="411" spans="1:5" x14ac:dyDescent="0.25">
      <c r="A411" s="3">
        <v>1935401</v>
      </c>
      <c r="B411" s="3">
        <v>41279</v>
      </c>
      <c r="C411" s="3" t="s">
        <v>767</v>
      </c>
      <c r="D411" s="3"/>
      <c r="E411" s="4" t="str">
        <f t="shared" si="6"/>
        <v xml:space="preserve">1935401 - POLIETILENGLICOL 3350 SOBRE X 4,5 gr - </v>
      </c>
    </row>
    <row r="412" spans="1:5" x14ac:dyDescent="0.25">
      <c r="A412" s="3">
        <v>2079703</v>
      </c>
      <c r="B412" s="3">
        <v>200423</v>
      </c>
      <c r="C412" s="3" t="s">
        <v>768</v>
      </c>
      <c r="D412" s="3"/>
      <c r="E412" s="4" t="str">
        <f t="shared" si="6"/>
        <v xml:space="preserve">2079703 - PRASUGREL 10 MG COMP - </v>
      </c>
    </row>
    <row r="413" spans="1:5" x14ac:dyDescent="0.25">
      <c r="A413" s="3">
        <v>167306</v>
      </c>
      <c r="B413" s="3">
        <v>200427</v>
      </c>
      <c r="C413" s="3" t="s">
        <v>443</v>
      </c>
      <c r="D413" s="3"/>
      <c r="E413" s="4" t="str">
        <f t="shared" si="6"/>
        <v xml:space="preserve">167306 - PROCAINA 50 %  x 10 ML AMP - </v>
      </c>
    </row>
    <row r="414" spans="1:5" x14ac:dyDescent="0.25">
      <c r="A414" s="3">
        <v>853201</v>
      </c>
      <c r="B414" s="3">
        <v>200428</v>
      </c>
      <c r="C414" s="3" t="s">
        <v>769</v>
      </c>
      <c r="D414" s="3"/>
      <c r="E414" s="4" t="str">
        <f t="shared" si="6"/>
        <v xml:space="preserve">853201 - PROGESTERONA 100 MG CAP - </v>
      </c>
    </row>
    <row r="415" spans="1:5" x14ac:dyDescent="0.25">
      <c r="A415" s="3">
        <v>171304</v>
      </c>
      <c r="B415" s="3">
        <v>200429</v>
      </c>
      <c r="C415" s="3" t="s">
        <v>444</v>
      </c>
      <c r="D415" s="3"/>
      <c r="E415" s="4" t="str">
        <f t="shared" si="6"/>
        <v xml:space="preserve">171304 - PROMETAZINA 50 MG/2ML AMP - </v>
      </c>
    </row>
    <row r="416" spans="1:5" x14ac:dyDescent="0.25">
      <c r="A416" s="3">
        <v>311701</v>
      </c>
      <c r="B416" s="3">
        <v>200430</v>
      </c>
      <c r="C416" s="3" t="s">
        <v>770</v>
      </c>
      <c r="D416" s="3"/>
      <c r="E416" s="4" t="str">
        <f t="shared" si="6"/>
        <v xml:space="preserve">311701 - PROPAFENONA 150 MG COMP - </v>
      </c>
    </row>
    <row r="417" spans="1:5" x14ac:dyDescent="0.25">
      <c r="A417" s="3">
        <v>362601</v>
      </c>
      <c r="B417" s="3">
        <v>200431</v>
      </c>
      <c r="C417" s="3" t="s">
        <v>771</v>
      </c>
      <c r="D417" s="3"/>
      <c r="E417" s="4" t="str">
        <f t="shared" si="6"/>
        <v xml:space="preserve">362601 - PROPANOLOL 10 MG COMP - </v>
      </c>
    </row>
    <row r="418" spans="1:5" x14ac:dyDescent="0.25">
      <c r="A418" s="3">
        <v>362604</v>
      </c>
      <c r="B418" s="3">
        <v>200432</v>
      </c>
      <c r="C418" s="3" t="s">
        <v>772</v>
      </c>
      <c r="D418" s="3"/>
      <c r="E418" s="4" t="str">
        <f t="shared" si="6"/>
        <v xml:space="preserve">362604 - PROPANOLOL 40 MG COMP - </v>
      </c>
    </row>
    <row r="419" spans="1:5" x14ac:dyDescent="0.25">
      <c r="A419" s="3">
        <v>2911901</v>
      </c>
      <c r="B419" s="3">
        <v>200433</v>
      </c>
      <c r="C419" s="3" t="s">
        <v>445</v>
      </c>
      <c r="D419" s="3"/>
      <c r="E419" s="4" t="str">
        <f t="shared" si="6"/>
        <v xml:space="preserve">2911901 - PROPANOLOL 5 MG AMP - </v>
      </c>
    </row>
    <row r="420" spans="1:5" x14ac:dyDescent="0.25">
      <c r="A420" s="3">
        <v>2657201</v>
      </c>
      <c r="B420" s="3">
        <v>200610</v>
      </c>
      <c r="C420" s="3" t="s">
        <v>773</v>
      </c>
      <c r="D420" s="3"/>
      <c r="E420" s="4" t="str">
        <f t="shared" si="6"/>
        <v xml:space="preserve">2657201 - PROPRANOLOL  SOL.ORAL X 100 ML - </v>
      </c>
    </row>
    <row r="421" spans="1:5" x14ac:dyDescent="0.25">
      <c r="A421" s="3">
        <v>28701</v>
      </c>
      <c r="B421" s="3">
        <v>200434</v>
      </c>
      <c r="C421" s="3" t="s">
        <v>774</v>
      </c>
      <c r="D421" s="3"/>
      <c r="E421" s="4" t="str">
        <f t="shared" si="6"/>
        <v xml:space="preserve">28701 - PROPARACAINA 0,5%  X 15 ML SN OFT - </v>
      </c>
    </row>
    <row r="422" spans="1:5" x14ac:dyDescent="0.25">
      <c r="A422" s="3">
        <v>2354201</v>
      </c>
      <c r="B422" s="3">
        <v>200437</v>
      </c>
      <c r="C422" s="3" t="s">
        <v>775</v>
      </c>
      <c r="D422" s="3"/>
      <c r="E422" s="4" t="str">
        <f t="shared" si="6"/>
        <v xml:space="preserve">2354201 - PROPINOX COMP - </v>
      </c>
    </row>
    <row r="423" spans="1:5" x14ac:dyDescent="0.25">
      <c r="A423" s="3">
        <v>1390001</v>
      </c>
      <c r="B423" s="3">
        <v>200438</v>
      </c>
      <c r="C423" s="3" t="s">
        <v>446</v>
      </c>
      <c r="D423" s="3"/>
      <c r="E423" s="4" t="str">
        <f t="shared" si="6"/>
        <v xml:space="preserve">1390001 - PROPOFOL 10 MG/ML X 20 ML AMP - </v>
      </c>
    </row>
    <row r="424" spans="1:5" x14ac:dyDescent="0.25">
      <c r="A424" s="3">
        <v>1039802</v>
      </c>
      <c r="B424" s="3">
        <v>200439</v>
      </c>
      <c r="C424" s="3" t="s">
        <v>447</v>
      </c>
      <c r="D424" s="3"/>
      <c r="E424" s="4" t="str">
        <f t="shared" si="6"/>
        <v xml:space="preserve">1039802 - PROTAMINA SULFATO 50 MG AMPOLLA - </v>
      </c>
    </row>
    <row r="425" spans="1:5" x14ac:dyDescent="0.25">
      <c r="A425" s="3">
        <v>1031302</v>
      </c>
      <c r="B425" s="3">
        <v>200549</v>
      </c>
      <c r="C425" s="3" t="s">
        <v>776</v>
      </c>
      <c r="D425" s="3"/>
      <c r="E425" s="4" t="str">
        <f t="shared" si="6"/>
        <v xml:space="preserve">1031302 - PURILON GEL 25 G COLOPLAST - </v>
      </c>
    </row>
    <row r="426" spans="1:5" x14ac:dyDescent="0.25">
      <c r="A426" s="3">
        <v>1403401</v>
      </c>
      <c r="B426" s="3">
        <v>200440</v>
      </c>
      <c r="C426" s="3" t="s">
        <v>448</v>
      </c>
      <c r="D426" s="3" t="s">
        <v>777</v>
      </c>
      <c r="E426" s="4" t="str">
        <f t="shared" si="6"/>
        <v>1403401 - PROTROMBINA COMPLEJO FCO-AMP - purilon</v>
      </c>
    </row>
    <row r="427" spans="1:5" x14ac:dyDescent="0.25">
      <c r="A427" s="3">
        <v>2113702</v>
      </c>
      <c r="B427" s="3">
        <v>200441</v>
      </c>
      <c r="C427" s="3" t="s">
        <v>778</v>
      </c>
      <c r="D427" s="3"/>
      <c r="E427" s="4" t="str">
        <f t="shared" si="6"/>
        <v xml:space="preserve">2113702 - QUETIAPINA 25 MG COMP - </v>
      </c>
    </row>
    <row r="428" spans="1:5" x14ac:dyDescent="0.25">
      <c r="A428" s="3">
        <v>1327504</v>
      </c>
      <c r="B428" s="3">
        <v>200444</v>
      </c>
      <c r="C428" s="3" t="s">
        <v>449</v>
      </c>
      <c r="D428" s="3"/>
      <c r="E428" s="4" t="str">
        <f t="shared" si="6"/>
        <v xml:space="preserve">1327504 - RANITIDINA 50 MG AMP - </v>
      </c>
    </row>
    <row r="429" spans="1:5" x14ac:dyDescent="0.25">
      <c r="A429" s="3">
        <v>2076801</v>
      </c>
      <c r="B429" s="3">
        <v>200445</v>
      </c>
      <c r="C429" s="3" t="s">
        <v>450</v>
      </c>
      <c r="D429" s="3"/>
      <c r="E429" s="4" t="str">
        <f t="shared" si="6"/>
        <v xml:space="preserve">2076801 - REMIFENTANILO 5 MG FCO-AMP - </v>
      </c>
    </row>
    <row r="430" spans="1:5" x14ac:dyDescent="0.25">
      <c r="A430" s="3">
        <v>5801</v>
      </c>
      <c r="B430" s="3">
        <v>200447</v>
      </c>
      <c r="C430" s="3" t="s">
        <v>779</v>
      </c>
      <c r="D430" s="3"/>
      <c r="E430" s="4" t="str">
        <f t="shared" si="6"/>
        <v xml:space="preserve">5801 - RESINA DE COLOFONIA x 92 ML SN - </v>
      </c>
    </row>
    <row r="431" spans="1:5" x14ac:dyDescent="0.25">
      <c r="A431" s="3">
        <v>2063702</v>
      </c>
      <c r="B431" s="3">
        <v>200448</v>
      </c>
      <c r="C431" s="3" t="s">
        <v>780</v>
      </c>
      <c r="D431" s="3"/>
      <c r="E431" s="4" t="str">
        <f t="shared" si="6"/>
        <v xml:space="preserve">2063702 - RIFAMICINA 0,5% SN TOPICA X 22 ML FCO - </v>
      </c>
    </row>
    <row r="432" spans="1:5" x14ac:dyDescent="0.25">
      <c r="A432" s="3">
        <v>2063701</v>
      </c>
      <c r="B432" s="3">
        <v>200449</v>
      </c>
      <c r="C432" s="3" t="s">
        <v>781</v>
      </c>
      <c r="D432" s="3"/>
      <c r="E432" s="4" t="str">
        <f t="shared" si="6"/>
        <v xml:space="preserve">2063701 - RIFAMICINA 1% X 30 ML SPRAY - </v>
      </c>
    </row>
    <row r="433" spans="1:5" x14ac:dyDescent="0.25">
      <c r="A433" s="3">
        <v>2155301</v>
      </c>
      <c r="B433" s="3">
        <v>200450</v>
      </c>
      <c r="C433" s="3" t="s">
        <v>451</v>
      </c>
      <c r="D433" s="3"/>
      <c r="E433" s="4" t="str">
        <f t="shared" si="6"/>
        <v xml:space="preserve">2155301 - RIFAMPICINA 300 MG CAP - </v>
      </c>
    </row>
    <row r="434" spans="1:5" x14ac:dyDescent="0.25">
      <c r="A434" s="3">
        <v>2476201</v>
      </c>
      <c r="B434" s="3">
        <v>200451</v>
      </c>
      <c r="C434" s="3" t="s">
        <v>452</v>
      </c>
      <c r="D434" s="3"/>
      <c r="E434" s="4" t="str">
        <f t="shared" si="6"/>
        <v xml:space="preserve">2476201 - RIFAMPICINA 600 MG FCO AMP - </v>
      </c>
    </row>
    <row r="435" spans="1:5" x14ac:dyDescent="0.25">
      <c r="A435" s="3">
        <v>1960103</v>
      </c>
      <c r="B435" s="3">
        <v>200452</v>
      </c>
      <c r="C435" s="3" t="s">
        <v>782</v>
      </c>
      <c r="D435" s="3"/>
      <c r="E435" s="4" t="str">
        <f t="shared" si="6"/>
        <v xml:space="preserve">1960103 - RIFAXIMINA 200 MG COMP - </v>
      </c>
    </row>
    <row r="436" spans="1:5" x14ac:dyDescent="0.25">
      <c r="A436" s="3">
        <v>1574707</v>
      </c>
      <c r="B436" s="3">
        <v>200453</v>
      </c>
      <c r="C436" s="3" t="s">
        <v>783</v>
      </c>
      <c r="D436" s="3"/>
      <c r="E436" s="4" t="str">
        <f t="shared" si="6"/>
        <v xml:space="preserve">1574707 - RISPERIDONA 1 MG COMP - </v>
      </c>
    </row>
    <row r="437" spans="1:5" x14ac:dyDescent="0.25">
      <c r="A437" s="3">
        <v>564209</v>
      </c>
      <c r="B437" s="3">
        <v>200454</v>
      </c>
      <c r="C437" s="3" t="s">
        <v>784</v>
      </c>
      <c r="D437" s="3"/>
      <c r="E437" s="4" t="str">
        <f t="shared" si="6"/>
        <v xml:space="preserve">564209 - RISPERIDONA X 30 ML SN - </v>
      </c>
    </row>
    <row r="438" spans="1:5" x14ac:dyDescent="0.25">
      <c r="A438" s="3">
        <v>2290901</v>
      </c>
      <c r="B438" s="3">
        <v>200590</v>
      </c>
      <c r="C438" s="3" t="s">
        <v>453</v>
      </c>
      <c r="D438" s="3"/>
      <c r="E438" s="4" t="str">
        <f t="shared" si="6"/>
        <v xml:space="preserve">2290901 - ROCURONIO 50 MG AMP - </v>
      </c>
    </row>
    <row r="439" spans="1:5" x14ac:dyDescent="0.25">
      <c r="A439" s="3">
        <v>2522901</v>
      </c>
      <c r="B439" s="3">
        <v>200456</v>
      </c>
      <c r="C439" s="3" t="s">
        <v>785</v>
      </c>
      <c r="D439" s="3" t="s">
        <v>786</v>
      </c>
      <c r="E439" s="4" t="str">
        <f t="shared" si="6"/>
        <v>2522901 - SACCHAROMISES BOULARDII CAPSULA - zemuron</v>
      </c>
    </row>
    <row r="440" spans="1:5" x14ac:dyDescent="0.25">
      <c r="A440" s="3">
        <v>830801</v>
      </c>
      <c r="B440" s="3">
        <v>200457</v>
      </c>
      <c r="C440" s="3" t="s">
        <v>787</v>
      </c>
      <c r="D440" s="3"/>
      <c r="E440" s="4" t="str">
        <f t="shared" si="6"/>
        <v xml:space="preserve">830801 - SALBUTAMOL + IPRATROPIO MONODOSIS NEB - </v>
      </c>
    </row>
    <row r="441" spans="1:5" x14ac:dyDescent="0.25">
      <c r="A441" s="3">
        <v>2369301</v>
      </c>
      <c r="B441" s="3">
        <v>200458</v>
      </c>
      <c r="C441" s="3" t="s">
        <v>788</v>
      </c>
      <c r="D441" s="3"/>
      <c r="E441" s="4" t="str">
        <f t="shared" si="6"/>
        <v xml:space="preserve">2369301 - SALBUTAMOL + IPRATROPIO X 250 DOSIS AEROSOL - </v>
      </c>
    </row>
    <row r="442" spans="1:5" x14ac:dyDescent="0.25">
      <c r="A442" s="3">
        <v>2579202</v>
      </c>
      <c r="B442" s="3">
        <v>200459</v>
      </c>
      <c r="C442" s="3" t="s">
        <v>789</v>
      </c>
      <c r="D442" s="3"/>
      <c r="E442" s="4" t="str">
        <f t="shared" si="6"/>
        <v xml:space="preserve">2579202 - SALBUTAMOL 0.5%  X 10 ML GOTAS NEB - </v>
      </c>
    </row>
    <row r="443" spans="1:5" x14ac:dyDescent="0.25">
      <c r="A443" s="3">
        <v>858703</v>
      </c>
      <c r="B443" s="3">
        <v>200460</v>
      </c>
      <c r="C443" s="3" t="s">
        <v>790</v>
      </c>
      <c r="D443" s="3"/>
      <c r="E443" s="4" t="str">
        <f t="shared" si="6"/>
        <v xml:space="preserve">858703 - SALBUTAMOL 100 MCG X 250 DOSIS AEROSOL - </v>
      </c>
    </row>
    <row r="444" spans="1:5" x14ac:dyDescent="0.25">
      <c r="A444" s="3">
        <v>385202</v>
      </c>
      <c r="B444" s="3">
        <v>200461</v>
      </c>
      <c r="C444" s="3" t="s">
        <v>791</v>
      </c>
      <c r="D444" s="3"/>
      <c r="E444" s="4" t="str">
        <f t="shared" si="6"/>
        <v xml:space="preserve">385202 - SALES PARA REHIDRATACION ORAL FRUTILLA SOBRE - </v>
      </c>
    </row>
    <row r="445" spans="1:5" x14ac:dyDescent="0.25">
      <c r="A445" s="3">
        <v>2488901</v>
      </c>
      <c r="B445" s="3">
        <v>200462</v>
      </c>
      <c r="C445" s="3" t="s">
        <v>792</v>
      </c>
      <c r="D445" s="3"/>
      <c r="E445" s="4" t="str">
        <f t="shared" si="6"/>
        <v xml:space="preserve">2488901 - SERTRALINA 25 MG COMP - </v>
      </c>
    </row>
    <row r="446" spans="1:5" x14ac:dyDescent="0.25">
      <c r="A446" s="3">
        <v>634904</v>
      </c>
      <c r="B446" s="3">
        <v>200464</v>
      </c>
      <c r="C446" s="3" t="s">
        <v>793</v>
      </c>
      <c r="D446" s="3"/>
      <c r="E446" s="4" t="str">
        <f t="shared" si="6"/>
        <v xml:space="preserve">634904 - SEVOFLURANO X 250 ML FCO - </v>
      </c>
    </row>
    <row r="447" spans="1:5" x14ac:dyDescent="0.25">
      <c r="A447" s="3">
        <v>980305</v>
      </c>
      <c r="B447" s="3">
        <v>200465</v>
      </c>
      <c r="C447" s="3" t="s">
        <v>794</v>
      </c>
      <c r="D447" s="3"/>
      <c r="E447" s="4" t="str">
        <f t="shared" si="6"/>
        <v xml:space="preserve">980305 - SILDENAFIL 50 MG COMP - </v>
      </c>
    </row>
    <row r="448" spans="1:5" x14ac:dyDescent="0.25">
      <c r="A448" s="3">
        <v>726102</v>
      </c>
      <c r="B448" s="3">
        <v>200469</v>
      </c>
      <c r="C448" s="3" t="s">
        <v>795</v>
      </c>
      <c r="D448" s="3"/>
      <c r="E448" s="4" t="str">
        <f t="shared" si="6"/>
        <v xml:space="preserve">726102 - SIMETICONA 200 MG COMP - </v>
      </c>
    </row>
    <row r="449" spans="1:5" x14ac:dyDescent="0.25">
      <c r="A449" s="23">
        <v>726201</v>
      </c>
      <c r="B449" s="23">
        <v>200468</v>
      </c>
      <c r="C449" s="23" t="s">
        <v>796</v>
      </c>
      <c r="D449" s="3"/>
      <c r="E449" s="4" t="str">
        <f t="shared" si="6"/>
        <v xml:space="preserve">726201 - SIMETICONA X 60 ML EMULSION - </v>
      </c>
    </row>
    <row r="450" spans="1:5" x14ac:dyDescent="0.25">
      <c r="A450" s="3">
        <v>1785901</v>
      </c>
      <c r="B450" s="3"/>
      <c r="C450" s="3" t="s">
        <v>266</v>
      </c>
      <c r="D450" s="23"/>
      <c r="E450" s="4" t="str">
        <f t="shared" si="6"/>
        <v xml:space="preserve">1785901 - SOLUCION BICARBONATO 1 MOLAR - </v>
      </c>
    </row>
    <row r="451" spans="1:5" x14ac:dyDescent="0.25">
      <c r="A451" s="3">
        <v>2618309</v>
      </c>
      <c r="B451" s="87" t="s">
        <v>272</v>
      </c>
      <c r="C451" s="3" t="s">
        <v>272</v>
      </c>
      <c r="D451" s="3"/>
      <c r="E451" s="4" t="str">
        <f t="shared" ref="E451:E514" si="7">_xlfn.CONCAT(A451, " - ",C451, " - ",D451)</f>
        <v xml:space="preserve">2618309 - SOLUCION FISIOLOGICA X 500 ML - </v>
      </c>
    </row>
    <row r="452" spans="1:5" x14ac:dyDescent="0.25">
      <c r="A452" s="3">
        <v>2767501</v>
      </c>
      <c r="B452" s="87"/>
      <c r="C452" s="3" t="s">
        <v>278</v>
      </c>
      <c r="D452" s="3"/>
      <c r="E452" s="4" t="str">
        <f t="shared" si="7"/>
        <v xml:space="preserve">2767501 - SOLUCION DEXT 10 % X 500 ML - </v>
      </c>
    </row>
    <row r="453" spans="1:5" x14ac:dyDescent="0.25">
      <c r="A453" s="3">
        <v>2618320</v>
      </c>
      <c r="B453" s="87"/>
      <c r="C453" s="3" t="s">
        <v>283</v>
      </c>
      <c r="D453" s="3"/>
      <c r="E453" s="4" t="str">
        <f t="shared" si="7"/>
        <v xml:space="preserve">2618320 - SOLUCION FISIO X 250 ML - </v>
      </c>
    </row>
    <row r="454" spans="1:5" x14ac:dyDescent="0.25">
      <c r="A454" s="3">
        <v>2752702</v>
      </c>
      <c r="B454" s="87"/>
      <c r="C454" s="3" t="s">
        <v>286</v>
      </c>
      <c r="D454" s="3"/>
      <c r="E454" s="4" t="str">
        <f t="shared" si="7"/>
        <v xml:space="preserve">2752702 - SOLUCION FISIOLOGICA X 1000 ML - </v>
      </c>
    </row>
    <row r="455" spans="1:5" x14ac:dyDescent="0.25">
      <c r="A455" s="10">
        <v>403903</v>
      </c>
      <c r="B455" s="10">
        <v>200476</v>
      </c>
      <c r="C455" s="10" t="s">
        <v>289</v>
      </c>
      <c r="D455" s="3"/>
      <c r="E455" s="4" t="str">
        <f t="shared" si="7"/>
        <v xml:space="preserve">403903 - SOLUCION FISIOLOGICA X 5 ML AMP - </v>
      </c>
    </row>
    <row r="456" spans="1:5" x14ac:dyDescent="0.25">
      <c r="A456" s="3">
        <v>406420</v>
      </c>
      <c r="B456" s="3"/>
      <c r="C456" s="3" t="s">
        <v>292</v>
      </c>
      <c r="D456" s="10"/>
      <c r="E456" s="4" t="str">
        <f t="shared" si="7"/>
        <v xml:space="preserve">406420 -  SOLUCION Cloruro de Sodio x 2000ml - </v>
      </c>
    </row>
    <row r="457" spans="1:5" x14ac:dyDescent="0.25">
      <c r="A457" s="3">
        <v>406427</v>
      </c>
      <c r="B457" s="3"/>
      <c r="C457" s="3" t="s">
        <v>295</v>
      </c>
      <c r="D457" s="3"/>
      <c r="E457" s="4" t="str">
        <f t="shared" si="7"/>
        <v xml:space="preserve">406427 - SOLUCION DE MANITOL - </v>
      </c>
    </row>
    <row r="458" spans="1:5" x14ac:dyDescent="0.25">
      <c r="A458" s="3">
        <v>2858207</v>
      </c>
      <c r="B458" s="3"/>
      <c r="C458" s="3" t="s">
        <v>298</v>
      </c>
      <c r="D458" s="3"/>
      <c r="E458" s="4" t="str">
        <f t="shared" si="7"/>
        <v xml:space="preserve">2858207 - SOLUCION DEXTROSA AL 5 EN AGUA X250 - </v>
      </c>
    </row>
    <row r="459" spans="1:5" x14ac:dyDescent="0.25">
      <c r="A459" s="3">
        <v>406425</v>
      </c>
      <c r="B459" s="3"/>
      <c r="C459" s="3" t="s">
        <v>304</v>
      </c>
      <c r="D459" s="3"/>
      <c r="E459" s="4" t="str">
        <f t="shared" si="7"/>
        <v xml:space="preserve">406425 - SOLUCION DEX AL 25 % - </v>
      </c>
    </row>
    <row r="460" spans="1:5" x14ac:dyDescent="0.25">
      <c r="A460" s="3">
        <v>406426</v>
      </c>
      <c r="B460" s="3"/>
      <c r="C460" s="3" t="s">
        <v>307</v>
      </c>
      <c r="D460" s="3"/>
      <c r="E460" s="4" t="str">
        <f t="shared" si="7"/>
        <v xml:space="preserve">406426 - SOLUCION DEX AL 50% - </v>
      </c>
    </row>
    <row r="461" spans="1:5" x14ac:dyDescent="0.25">
      <c r="A461" s="3">
        <v>2858205</v>
      </c>
      <c r="B461" s="3"/>
      <c r="C461" s="3" t="s">
        <v>310</v>
      </c>
      <c r="D461" s="3"/>
      <c r="E461" s="4" t="str">
        <f t="shared" si="7"/>
        <v xml:space="preserve">2858205 - SOLUCION DEX X 100 ML - </v>
      </c>
    </row>
    <row r="462" spans="1:5" x14ac:dyDescent="0.25">
      <c r="A462" s="3">
        <v>2618319</v>
      </c>
      <c r="B462" s="3"/>
      <c r="C462" s="3" t="s">
        <v>313</v>
      </c>
      <c r="D462" s="3"/>
      <c r="E462" s="4" t="str">
        <f t="shared" si="7"/>
        <v xml:space="preserve">2618319 - SOLUCION DEXT X 500 ML - </v>
      </c>
    </row>
    <row r="463" spans="1:5" x14ac:dyDescent="0.25">
      <c r="A463" s="3">
        <v>2618320</v>
      </c>
      <c r="B463" s="3"/>
      <c r="C463" s="3" t="s">
        <v>316</v>
      </c>
      <c r="D463" s="3"/>
      <c r="E463" s="4" t="str">
        <f t="shared" si="7"/>
        <v xml:space="preserve">2618320 - SOLUCION RINGER X 500 ML - </v>
      </c>
    </row>
    <row r="464" spans="1:5" x14ac:dyDescent="0.25">
      <c r="A464" s="3">
        <v>810701</v>
      </c>
      <c r="B464" s="3">
        <v>200477</v>
      </c>
      <c r="C464" s="3" t="s">
        <v>454</v>
      </c>
      <c r="D464" s="3"/>
      <c r="E464" s="4" t="str">
        <f t="shared" si="7"/>
        <v xml:space="preserve">810701 - SUCCINILCOLINA 100 MG AMP - </v>
      </c>
    </row>
    <row r="465" spans="1:5" x14ac:dyDescent="0.25">
      <c r="A465" s="3">
        <v>759401</v>
      </c>
      <c r="B465" s="3">
        <v>200478</v>
      </c>
      <c r="C465" s="3" t="s">
        <v>797</v>
      </c>
      <c r="D465" s="3"/>
      <c r="E465" s="4" t="str">
        <f t="shared" si="7"/>
        <v xml:space="preserve">759401 - SUCRALFATO X 200 ML SUSP - </v>
      </c>
    </row>
    <row r="466" spans="1:5" x14ac:dyDescent="0.25">
      <c r="A466" s="3">
        <v>1009601</v>
      </c>
      <c r="B466" s="3">
        <v>200479</v>
      </c>
      <c r="C466" s="3" t="s">
        <v>798</v>
      </c>
      <c r="D466" s="3"/>
      <c r="E466" s="4" t="str">
        <f t="shared" si="7"/>
        <v xml:space="preserve">1009601 - SULFADIAZINA 500 MG COMP - </v>
      </c>
    </row>
    <row r="467" spans="1:5" x14ac:dyDescent="0.25">
      <c r="A467" s="3">
        <v>348006</v>
      </c>
      <c r="B467" s="3">
        <v>200481</v>
      </c>
      <c r="C467" s="3" t="s">
        <v>799</v>
      </c>
      <c r="D467" s="3"/>
      <c r="E467" s="4" t="str">
        <f t="shared" si="7"/>
        <v xml:space="preserve">348006 - SULFADIAZINA DE PLATA + ASOC X 350 G CR - </v>
      </c>
    </row>
    <row r="468" spans="1:5" x14ac:dyDescent="0.25">
      <c r="A468" s="3">
        <v>1251101</v>
      </c>
      <c r="B468" s="3">
        <v>200482</v>
      </c>
      <c r="C468" s="3" t="s">
        <v>800</v>
      </c>
      <c r="D468" s="3"/>
      <c r="E468" s="4" t="str">
        <f t="shared" si="7"/>
        <v xml:space="preserve">1251101 - SULFADIAZINA DE PLATA + ASOC X 30/50 G CR - </v>
      </c>
    </row>
    <row r="469" spans="1:5" x14ac:dyDescent="0.25">
      <c r="A469" s="3">
        <v>192802</v>
      </c>
      <c r="B469" s="3">
        <v>200060</v>
      </c>
      <c r="C469" s="3" t="s">
        <v>801</v>
      </c>
      <c r="D469" s="3"/>
      <c r="E469" s="4" t="str">
        <f t="shared" si="7"/>
        <v xml:space="preserve">192802 - SULFATO DE BARIO 55 GR ENEMA - </v>
      </c>
    </row>
    <row r="470" spans="1:5" x14ac:dyDescent="0.25">
      <c r="A470" s="3">
        <v>1418101</v>
      </c>
      <c r="B470" s="3">
        <v>200327</v>
      </c>
      <c r="C470" s="3" t="s">
        <v>455</v>
      </c>
      <c r="D470" s="3"/>
      <c r="E470" s="4" t="str">
        <f t="shared" si="7"/>
        <v xml:space="preserve">1418101 - SULFATO DE MAGNESIO 25% X 5 ML AMP - </v>
      </c>
    </row>
    <row r="471" spans="1:5" x14ac:dyDescent="0.25">
      <c r="A471" s="3">
        <v>509102</v>
      </c>
      <c r="B471" s="3">
        <v>200483</v>
      </c>
      <c r="C471" s="3" t="s">
        <v>456</v>
      </c>
      <c r="D471" s="3"/>
      <c r="E471" s="4" t="str">
        <f t="shared" si="7"/>
        <v xml:space="preserve">509102 - SURFACTANTE X 4 ML FCO-AMP - </v>
      </c>
    </row>
    <row r="472" spans="1:5" x14ac:dyDescent="0.25">
      <c r="A472" s="3">
        <v>509101</v>
      </c>
      <c r="B472" s="3">
        <v>200484</v>
      </c>
      <c r="C472" s="3" t="s">
        <v>457</v>
      </c>
      <c r="D472" s="3"/>
      <c r="E472" s="4" t="str">
        <f t="shared" si="7"/>
        <v xml:space="preserve">509101 - SURFACTANTE X 8 ML FCO-AMP - </v>
      </c>
    </row>
    <row r="473" spans="1:5" x14ac:dyDescent="0.25">
      <c r="A473" s="3">
        <v>1944701</v>
      </c>
      <c r="B473" s="3">
        <v>200486</v>
      </c>
      <c r="C473" s="3" t="s">
        <v>802</v>
      </c>
      <c r="D473" s="3"/>
      <c r="E473" s="4" t="str">
        <f t="shared" si="7"/>
        <v xml:space="preserve">1944701 - TAMSULOSINA 0,4 MG CAP - </v>
      </c>
    </row>
    <row r="474" spans="1:5" x14ac:dyDescent="0.25">
      <c r="A474" s="3">
        <v>1254902</v>
      </c>
      <c r="B474" s="3">
        <v>200488</v>
      </c>
      <c r="C474" s="3" t="s">
        <v>458</v>
      </c>
      <c r="D474" s="3"/>
      <c r="E474" s="4" t="str">
        <f t="shared" si="7"/>
        <v xml:space="preserve">1254902 - TEICOPLANINA 400 MG FCO-AMP - </v>
      </c>
    </row>
    <row r="475" spans="1:5" x14ac:dyDescent="0.25">
      <c r="A475" s="3">
        <v>1071204</v>
      </c>
      <c r="B475" s="3">
        <v>200489</v>
      </c>
      <c r="C475" s="3" t="s">
        <v>803</v>
      </c>
      <c r="D475" s="3"/>
      <c r="E475" s="4" t="str">
        <f t="shared" si="7"/>
        <v xml:space="preserve">1071204 - TELMISARTAN 40 MG COMP - </v>
      </c>
    </row>
    <row r="476" spans="1:5" x14ac:dyDescent="0.25">
      <c r="A476" s="3">
        <v>2534301</v>
      </c>
      <c r="B476" s="3">
        <v>200490</v>
      </c>
      <c r="C476" s="3" t="s">
        <v>804</v>
      </c>
      <c r="D476" s="3"/>
      <c r="E476" s="4" t="str">
        <f t="shared" si="7"/>
        <v xml:space="preserve">2534301 - TENOFOVOR + EMTRICITAVINA 200+300 MG COMP - </v>
      </c>
    </row>
    <row r="477" spans="1:5" x14ac:dyDescent="0.25">
      <c r="A477" s="3">
        <v>486405</v>
      </c>
      <c r="B477" s="3">
        <v>200493</v>
      </c>
      <c r="C477" s="3" t="s">
        <v>805</v>
      </c>
      <c r="D477" s="3"/>
      <c r="E477" s="4" t="str">
        <f t="shared" si="7"/>
        <v xml:space="preserve">486405 - TERAZOSINA 5 MG COMP - </v>
      </c>
    </row>
    <row r="478" spans="1:5" x14ac:dyDescent="0.25">
      <c r="A478" s="3">
        <v>1903402</v>
      </c>
      <c r="B478" s="3">
        <v>200494</v>
      </c>
      <c r="C478" s="3" t="s">
        <v>459</v>
      </c>
      <c r="D478" s="3" t="s">
        <v>806</v>
      </c>
      <c r="E478" s="4" t="str">
        <f t="shared" si="7"/>
        <v>1903402 - TERLIPRESINA 1 MG FCO-AMP - remivir</v>
      </c>
    </row>
    <row r="479" spans="1:5" x14ac:dyDescent="0.25">
      <c r="A479" s="3">
        <v>2270102</v>
      </c>
      <c r="B479" s="3">
        <v>200495</v>
      </c>
      <c r="C479" s="3" t="s">
        <v>807</v>
      </c>
      <c r="D479" s="3"/>
      <c r="E479" s="4" t="str">
        <f t="shared" si="7"/>
        <v xml:space="preserve">2270102 - TICAGRELOR 90 MG COMP - </v>
      </c>
    </row>
    <row r="480" spans="1:5" x14ac:dyDescent="0.25">
      <c r="A480" s="3">
        <v>1764201</v>
      </c>
      <c r="B480" s="3">
        <v>200496</v>
      </c>
      <c r="C480" s="3" t="s">
        <v>460</v>
      </c>
      <c r="D480" s="3"/>
      <c r="E480" s="4" t="str">
        <f t="shared" si="7"/>
        <v xml:space="preserve">1764201 - TIGECICLINA 50 MG FCO AMP - </v>
      </c>
    </row>
    <row r="481" spans="1:5" x14ac:dyDescent="0.25">
      <c r="A481" s="3">
        <v>1394001</v>
      </c>
      <c r="B481" s="3">
        <v>200497</v>
      </c>
      <c r="C481" s="3" t="s">
        <v>808</v>
      </c>
      <c r="D481" s="3"/>
      <c r="E481" s="4" t="str">
        <f t="shared" si="7"/>
        <v xml:space="preserve">1394001 - TIMOLOL  0.5 % X 5 ML SOL OFT - </v>
      </c>
    </row>
    <row r="482" spans="1:5" x14ac:dyDescent="0.25">
      <c r="A482" s="3">
        <v>2461602</v>
      </c>
      <c r="B482" s="3">
        <v>200541</v>
      </c>
      <c r="C482" s="3" t="s">
        <v>461</v>
      </c>
      <c r="D482" s="3"/>
      <c r="E482" s="4" t="str">
        <f t="shared" si="7"/>
        <v xml:space="preserve">2461602 - TIROFIBAN CLORHIDRATO 0,25MG/ML AMPOLLA - </v>
      </c>
    </row>
    <row r="483" spans="1:5" x14ac:dyDescent="0.25">
      <c r="A483" s="3">
        <v>436902</v>
      </c>
      <c r="B483" s="3">
        <v>200499</v>
      </c>
      <c r="C483" s="3" t="s">
        <v>809</v>
      </c>
      <c r="D483" s="3"/>
      <c r="E483" s="4" t="str">
        <f t="shared" si="7"/>
        <v xml:space="preserve">436902 - TOBRAMICINA + DEXAMETASONA X 3,5 G UNG OFT - </v>
      </c>
    </row>
    <row r="484" spans="1:5" x14ac:dyDescent="0.25">
      <c r="A484" s="3">
        <v>436901</v>
      </c>
      <c r="B484" s="3">
        <v>200498</v>
      </c>
      <c r="C484" s="3" t="s">
        <v>810</v>
      </c>
      <c r="D484" s="3" t="s">
        <v>811</v>
      </c>
      <c r="E484" s="4" t="str">
        <f t="shared" si="7"/>
        <v>436901 - TOBRAMICINA + DEXAMETASONA X 5 ML SUSP OFT - agrastat</v>
      </c>
    </row>
    <row r="485" spans="1:5" x14ac:dyDescent="0.25">
      <c r="A485" s="3">
        <v>1394101</v>
      </c>
      <c r="B485" s="3">
        <v>200500</v>
      </c>
      <c r="C485" s="3" t="s">
        <v>812</v>
      </c>
      <c r="D485" s="3"/>
      <c r="E485" s="4" t="str">
        <f t="shared" si="7"/>
        <v xml:space="preserve">1394101 - TOBRAMICINA 0.3 % X 5 ML SUSP OFT - </v>
      </c>
    </row>
    <row r="486" spans="1:5" x14ac:dyDescent="0.25">
      <c r="A486" s="3">
        <v>73906</v>
      </c>
      <c r="B486" s="3">
        <v>200502</v>
      </c>
      <c r="C486" s="3" t="s">
        <v>813</v>
      </c>
      <c r="D486" s="3"/>
      <c r="E486" s="4" t="str">
        <f t="shared" si="7"/>
        <v xml:space="preserve">73906 - TRAMADOL 100 MG/ML GOTAS X 10 ML - </v>
      </c>
    </row>
    <row r="487" spans="1:5" x14ac:dyDescent="0.25">
      <c r="A487" s="3">
        <v>73905</v>
      </c>
      <c r="B487" s="3">
        <v>200503</v>
      </c>
      <c r="C487" s="3" t="s">
        <v>462</v>
      </c>
      <c r="D487" s="3"/>
      <c r="E487" s="4" t="str">
        <f t="shared" si="7"/>
        <v xml:space="preserve">73905 - TRAMADOL 50 MG AMP - </v>
      </c>
    </row>
    <row r="488" spans="1:5" x14ac:dyDescent="0.25">
      <c r="A488" s="3">
        <v>283602</v>
      </c>
      <c r="B488" s="3">
        <v>200505</v>
      </c>
      <c r="C488" s="3" t="s">
        <v>814</v>
      </c>
      <c r="D488" s="3"/>
      <c r="E488" s="4" t="str">
        <f t="shared" si="7"/>
        <v xml:space="preserve">283602 - TRIMEBUTINA 100 MG COMP - </v>
      </c>
    </row>
    <row r="489" spans="1:5" x14ac:dyDescent="0.25">
      <c r="A489" s="3">
        <v>1512901</v>
      </c>
      <c r="B489" s="3">
        <v>200506</v>
      </c>
      <c r="C489" s="3" t="s">
        <v>815</v>
      </c>
      <c r="D489" s="3"/>
      <c r="E489" s="4" t="str">
        <f t="shared" si="7"/>
        <v xml:space="preserve">1512901 - TRIMETAZIDINA 35 MG COMP LP - </v>
      </c>
    </row>
    <row r="490" spans="1:5" x14ac:dyDescent="0.25">
      <c r="A490" s="3">
        <v>47002</v>
      </c>
      <c r="B490" s="3">
        <v>200507</v>
      </c>
      <c r="C490" s="3" t="s">
        <v>816</v>
      </c>
      <c r="D490" s="3"/>
      <c r="E490" s="4" t="str">
        <f t="shared" si="7"/>
        <v xml:space="preserve">47002 - TRIMETOPRIMA + SULFAMETOXAZOL JARABE X 60 ML - </v>
      </c>
    </row>
    <row r="491" spans="1:5" x14ac:dyDescent="0.25">
      <c r="A491" s="3">
        <v>47007</v>
      </c>
      <c r="B491" s="3">
        <v>200508</v>
      </c>
      <c r="C491" s="3" t="s">
        <v>817</v>
      </c>
      <c r="D491" s="3"/>
      <c r="E491" s="4" t="str">
        <f t="shared" si="7"/>
        <v xml:space="preserve">47007 - TRIMETOPRIMA 160 MG + SULFAMETOXAZOL 800 MG COMP - </v>
      </c>
    </row>
    <row r="492" spans="1:5" x14ac:dyDescent="0.25">
      <c r="A492" s="3">
        <v>699601</v>
      </c>
      <c r="B492" s="3">
        <v>200509</v>
      </c>
      <c r="C492" s="3" t="s">
        <v>463</v>
      </c>
      <c r="D492" s="3" t="s">
        <v>818</v>
      </c>
      <c r="E492" s="4" t="str">
        <f t="shared" si="7"/>
        <v>699601 - TRIMETOPRIMA 80 MG + SULFAMETOXAZOL 400 MG AMP - bactrin</v>
      </c>
    </row>
    <row r="493" spans="1:5" x14ac:dyDescent="0.25">
      <c r="A493" s="3">
        <v>185201</v>
      </c>
      <c r="B493" s="3">
        <v>200511</v>
      </c>
      <c r="C493" s="3" t="s">
        <v>819</v>
      </c>
      <c r="D493" s="3"/>
      <c r="E493" s="4" t="str">
        <f t="shared" si="7"/>
        <v xml:space="preserve">185201 - TROPICAMIDA + FENILEFRINA X 5 ML SOL OFT - </v>
      </c>
    </row>
    <row r="494" spans="1:5" x14ac:dyDescent="0.25">
      <c r="A494" s="3">
        <v>1075902</v>
      </c>
      <c r="B494" s="3">
        <v>200513</v>
      </c>
      <c r="C494" s="3" t="s">
        <v>820</v>
      </c>
      <c r="D494" s="3"/>
      <c r="E494" s="4" t="str">
        <f t="shared" si="7"/>
        <v xml:space="preserve">1075902 - URSODESOXICOLICO, AC 300 MG COMP - </v>
      </c>
    </row>
    <row r="495" spans="1:5" x14ac:dyDescent="0.25">
      <c r="A495" s="3">
        <v>756001</v>
      </c>
      <c r="B495" s="3">
        <v>17266</v>
      </c>
      <c r="C495" s="3" t="s">
        <v>821</v>
      </c>
      <c r="D495" s="3"/>
      <c r="E495" s="4" t="str">
        <f t="shared" si="7"/>
        <v xml:space="preserve">756001 - VACUNA ANTIAMARÍLICA - Fiebre amarilla - </v>
      </c>
    </row>
    <row r="496" spans="1:5" x14ac:dyDescent="0.25">
      <c r="A496" s="3">
        <v>2719501</v>
      </c>
      <c r="B496" s="3">
        <v>16945</v>
      </c>
      <c r="C496" s="3" t="s">
        <v>822</v>
      </c>
      <c r="D496" s="3"/>
      <c r="E496" s="4" t="str">
        <f t="shared" si="7"/>
        <v xml:space="preserve">2719501 - VACUNA ANTIGRIPAL - </v>
      </c>
    </row>
    <row r="497" spans="1:5" x14ac:dyDescent="0.25">
      <c r="A497" s="3">
        <v>1530001</v>
      </c>
      <c r="B497" s="3">
        <v>16999</v>
      </c>
      <c r="C497" s="3" t="s">
        <v>822</v>
      </c>
      <c r="D497" s="3" t="s">
        <v>823</v>
      </c>
      <c r="E497" s="4" t="str">
        <f t="shared" si="7"/>
        <v>1530001 - VACUNA ANTIGRIPAL - STAMARIL</v>
      </c>
    </row>
    <row r="498" spans="1:5" x14ac:dyDescent="0.25">
      <c r="A498" s="3">
        <v>1168001</v>
      </c>
      <c r="B498" s="3">
        <v>47601</v>
      </c>
      <c r="C498" s="3" t="s">
        <v>822</v>
      </c>
      <c r="D498" s="3" t="s">
        <v>824</v>
      </c>
      <c r="E498" s="4" t="str">
        <f t="shared" si="7"/>
        <v>1168001 - VACUNA ANTIGRIPAL - ISTIVAC</v>
      </c>
    </row>
    <row r="499" spans="1:5" x14ac:dyDescent="0.25">
      <c r="A499" s="3">
        <v>926201</v>
      </c>
      <c r="B499" s="3">
        <v>33939</v>
      </c>
      <c r="C499" s="3" t="s">
        <v>825</v>
      </c>
      <c r="D499" s="3" t="s">
        <v>826</v>
      </c>
      <c r="E499" s="4" t="str">
        <f t="shared" si="7"/>
        <v>926201 - VACUNA ANTIHEPATITIS A - AGRIPAL</v>
      </c>
    </row>
    <row r="500" spans="1:5" x14ac:dyDescent="0.25">
      <c r="A500" s="3">
        <v>974602</v>
      </c>
      <c r="B500" s="3">
        <v>22039</v>
      </c>
      <c r="C500" s="3" t="s">
        <v>827</v>
      </c>
      <c r="D500" s="3" t="s">
        <v>828</v>
      </c>
      <c r="E500" s="4" t="str">
        <f t="shared" si="7"/>
        <v>974602 - VACUNA ANTIHEPATITIS A + B - INFLUVAC</v>
      </c>
    </row>
    <row r="501" spans="1:5" x14ac:dyDescent="0.25">
      <c r="A501" s="3">
        <v>1132501</v>
      </c>
      <c r="B501" s="3">
        <v>19569</v>
      </c>
      <c r="C501" s="3" t="s">
        <v>829</v>
      </c>
      <c r="D501" s="3" t="s">
        <v>830</v>
      </c>
      <c r="E501" s="4" t="str">
        <f t="shared" si="7"/>
        <v>1132501 - VACUNA ANTIHEPATITIS A ADULTO - AVAXIM 80</v>
      </c>
    </row>
    <row r="502" spans="1:5" x14ac:dyDescent="0.25">
      <c r="A502" s="3">
        <v>663802</v>
      </c>
      <c r="B502" s="3">
        <v>18309</v>
      </c>
      <c r="C502" s="3" t="s">
        <v>831</v>
      </c>
      <c r="D502" s="3" t="s">
        <v>832</v>
      </c>
      <c r="E502" s="4" t="str">
        <f t="shared" si="7"/>
        <v>663802 - VACUNA ANTIHEPATITIS A PEDIATRICA - TWINRIX AD</v>
      </c>
    </row>
    <row r="503" spans="1:5" x14ac:dyDescent="0.25">
      <c r="A503" s="3">
        <v>662702</v>
      </c>
      <c r="B503" s="3">
        <v>15335</v>
      </c>
      <c r="C503" s="3" t="s">
        <v>833</v>
      </c>
      <c r="D503" s="3" t="s">
        <v>834</v>
      </c>
      <c r="E503" s="4" t="str">
        <f t="shared" si="7"/>
        <v>662702 - VACUNA ANTIHEPATITIS B ADULTO - HAVRIX 1440</v>
      </c>
    </row>
    <row r="504" spans="1:5" x14ac:dyDescent="0.25">
      <c r="A504" s="3">
        <v>2176201</v>
      </c>
      <c r="B504" s="3">
        <v>30070</v>
      </c>
      <c r="C504" s="3" t="s">
        <v>833</v>
      </c>
      <c r="D504" s="3" t="s">
        <v>835</v>
      </c>
      <c r="E504" s="4" t="str">
        <f t="shared" si="7"/>
        <v>2176201 - VACUNA ANTIHEPATITIS B ADULTO - HAVRIX 720</v>
      </c>
    </row>
    <row r="505" spans="1:5" x14ac:dyDescent="0.25">
      <c r="A505" s="3">
        <v>662701</v>
      </c>
      <c r="B505" s="3">
        <v>15334</v>
      </c>
      <c r="C505" s="3" t="s">
        <v>836</v>
      </c>
      <c r="D505" s="3" t="s">
        <v>837</v>
      </c>
      <c r="E505" s="4" t="str">
        <f t="shared" si="7"/>
        <v>662701 - VACUNA ANTIHEPATITIS B PEDIATRIA - BIOVAC HB 20</v>
      </c>
    </row>
    <row r="506" spans="1:5" x14ac:dyDescent="0.25">
      <c r="A506" s="3">
        <v>2204701</v>
      </c>
      <c r="B506" s="3">
        <v>30071</v>
      </c>
      <c r="C506" s="3" t="s">
        <v>836</v>
      </c>
      <c r="D506" s="3" t="s">
        <v>838</v>
      </c>
      <c r="E506" s="4" t="str">
        <f t="shared" si="7"/>
        <v>2204701 - VACUNA ANTIHEPATITIS B PEDIATRIA - AGB 20</v>
      </c>
    </row>
    <row r="507" spans="1:5" x14ac:dyDescent="0.25">
      <c r="A507" s="3">
        <v>2654801</v>
      </c>
      <c r="B507" s="3">
        <v>54074</v>
      </c>
      <c r="C507" s="3" t="s">
        <v>839</v>
      </c>
      <c r="D507" s="3" t="s">
        <v>840</v>
      </c>
      <c r="E507" s="4" t="str">
        <f t="shared" si="7"/>
        <v>2654801 - VACUNA ANTIMENINGOCÓCCICA C CONJUGADA - BIOVAC HB 10</v>
      </c>
    </row>
    <row r="508" spans="1:5" x14ac:dyDescent="0.25">
      <c r="A508" s="3">
        <v>2142502</v>
      </c>
      <c r="B508" s="3">
        <v>48372</v>
      </c>
      <c r="C508" s="3" t="s">
        <v>841</v>
      </c>
      <c r="D508" s="3" t="s">
        <v>842</v>
      </c>
      <c r="E508" s="4" t="str">
        <f t="shared" si="7"/>
        <v>2142502 - VACUNA ANTIMENINGOCÓCCICA CONJUGADA A/C/Y/W-135 - AGB 10</v>
      </c>
    </row>
    <row r="509" spans="1:5" x14ac:dyDescent="0.25">
      <c r="A509" s="3">
        <v>2180403</v>
      </c>
      <c r="B509" s="3">
        <v>46650</v>
      </c>
      <c r="C509" s="3" t="s">
        <v>841</v>
      </c>
      <c r="D509" s="3" t="s">
        <v>843</v>
      </c>
      <c r="E509" s="4" t="str">
        <f t="shared" si="7"/>
        <v>2180403 - VACUNA ANTIMENINGOCÓCCICA CONJUGADA A/C/Y/W-135 - BEXSERO</v>
      </c>
    </row>
    <row r="510" spans="1:5" x14ac:dyDescent="0.25">
      <c r="A510" s="3">
        <v>1041101</v>
      </c>
      <c r="B510" s="3">
        <v>23169</v>
      </c>
      <c r="C510" s="3" t="s">
        <v>844</v>
      </c>
      <c r="D510" s="3" t="s">
        <v>845</v>
      </c>
      <c r="E510" s="4" t="str">
        <f t="shared" si="7"/>
        <v>1041101 - VACUNA ANTINEUMOCÓCCICA - MENVEO</v>
      </c>
    </row>
    <row r="511" spans="1:5" x14ac:dyDescent="0.25">
      <c r="A511" s="3">
        <v>2122901</v>
      </c>
      <c r="B511" s="3">
        <v>45115</v>
      </c>
      <c r="C511" s="3" t="s">
        <v>846</v>
      </c>
      <c r="D511" s="3" t="s">
        <v>847</v>
      </c>
      <c r="E511" s="4" t="str">
        <f t="shared" si="7"/>
        <v>2122901 - VACUNA ANTINEUMOCÓCCICA CONJUGADA - MENACTRA</v>
      </c>
    </row>
    <row r="512" spans="1:5" x14ac:dyDescent="0.25">
      <c r="A512" s="3">
        <v>1740002</v>
      </c>
      <c r="B512" s="3">
        <v>44874</v>
      </c>
      <c r="C512" s="3" t="s">
        <v>848</v>
      </c>
      <c r="D512" s="3" t="s">
        <v>849</v>
      </c>
      <c r="E512" s="4" t="str">
        <f t="shared" si="7"/>
        <v>1740002 - VACUNA ANTIRROTAVIRUS - PNEUMOVAX 23</v>
      </c>
    </row>
    <row r="513" spans="1:5" x14ac:dyDescent="0.25">
      <c r="A513" s="3">
        <v>431002</v>
      </c>
      <c r="B513" s="3">
        <v>45853</v>
      </c>
      <c r="C513" s="3" t="s">
        <v>850</v>
      </c>
      <c r="D513" s="3" t="s">
        <v>851</v>
      </c>
      <c r="E513" s="4" t="str">
        <f t="shared" si="7"/>
        <v>431002 - VACUNA ANTITETÁNICA - PREVENAR</v>
      </c>
    </row>
    <row r="514" spans="1:5" x14ac:dyDescent="0.25">
      <c r="A514" s="3">
        <v>455002</v>
      </c>
      <c r="B514" s="3">
        <v>20886</v>
      </c>
      <c r="C514" s="3" t="s">
        <v>850</v>
      </c>
      <c r="D514" s="3" t="s">
        <v>852</v>
      </c>
      <c r="E514" s="4" t="str">
        <f t="shared" si="7"/>
        <v>455002 - VACUNA ANTITETÁNICA - ROTARIX</v>
      </c>
    </row>
    <row r="515" spans="1:5" x14ac:dyDescent="0.25">
      <c r="A515" s="3">
        <v>737002</v>
      </c>
      <c r="B515" s="3">
        <v>19448</v>
      </c>
      <c r="C515" s="3" t="s">
        <v>853</v>
      </c>
      <c r="D515" s="3" t="s">
        <v>854</v>
      </c>
      <c r="E515" s="4" t="str">
        <f t="shared" ref="E515:E578" si="8">_xlfn.CONCAT(A515, " - ",C515, " - ",D515)</f>
        <v>737002 - VACUNA ANTITUBERCULOSA - TETANOL</v>
      </c>
    </row>
    <row r="516" spans="1:5" x14ac:dyDescent="0.25">
      <c r="A516" s="3">
        <v>817701</v>
      </c>
      <c r="B516" s="3">
        <v>19008</v>
      </c>
      <c r="C516" s="3" t="s">
        <v>855</v>
      </c>
      <c r="D516" s="3" t="s">
        <v>856</v>
      </c>
      <c r="E516" s="4" t="str">
        <f t="shared" si="8"/>
        <v>817701 - VACUNA ANTIVARICELOSA - ANTITETÁNICA BIOL</v>
      </c>
    </row>
    <row r="517" spans="1:5" x14ac:dyDescent="0.25">
      <c r="A517" s="3">
        <v>2463001</v>
      </c>
      <c r="B517" s="3">
        <v>50626</v>
      </c>
      <c r="C517" s="3" t="s">
        <v>855</v>
      </c>
      <c r="D517" s="3" t="s">
        <v>857</v>
      </c>
      <c r="E517" s="4" t="str">
        <f t="shared" si="8"/>
        <v>2463001 - VACUNA ANTIVARICELOSA - BCG SSI</v>
      </c>
    </row>
    <row r="518" spans="1:5" x14ac:dyDescent="0.25">
      <c r="A518" s="3">
        <v>1825901</v>
      </c>
      <c r="B518" s="3">
        <v>39203</v>
      </c>
      <c r="C518" s="3" t="s">
        <v>858</v>
      </c>
      <c r="D518" s="3" t="s">
        <v>859</v>
      </c>
      <c r="E518" s="4" t="str">
        <f t="shared" si="8"/>
        <v>1825901 - VACUNA CONTRA EL VIRUS DEL PAPILOMA HUMANO (TIPOS 18, 16, 11 y 6) - VARILRIX</v>
      </c>
    </row>
    <row r="519" spans="1:5" x14ac:dyDescent="0.25">
      <c r="A519" s="3">
        <v>455209</v>
      </c>
      <c r="B519" s="3">
        <v>21776</v>
      </c>
      <c r="C519" s="3" t="s">
        <v>860</v>
      </c>
      <c r="D519" s="3" t="s">
        <v>861</v>
      </c>
      <c r="E519" s="4" t="str">
        <f t="shared" si="8"/>
        <v>455209 - VACUNA DOBLE ADULTO - Difteria/Tétanos - VARIVAX</v>
      </c>
    </row>
    <row r="520" spans="1:5" x14ac:dyDescent="0.25">
      <c r="A520" s="3">
        <v>191203</v>
      </c>
      <c r="B520" s="3">
        <v>42958</v>
      </c>
      <c r="C520" s="3" t="s">
        <v>862</v>
      </c>
      <c r="D520" s="3" t="s">
        <v>863</v>
      </c>
      <c r="E520" s="4" t="str">
        <f t="shared" si="8"/>
        <v>191203 - VACUNA GAMMAGLOBULINA ANTITETÁNICA/TOXOIDE TETÁNICO - GARDASIL</v>
      </c>
    </row>
    <row r="521" spans="1:5" x14ac:dyDescent="0.25">
      <c r="A521" s="3">
        <v>1579302</v>
      </c>
      <c r="B521" s="3">
        <v>34726</v>
      </c>
      <c r="C521" s="3" t="s">
        <v>862</v>
      </c>
      <c r="D521" s="3" t="s">
        <v>864</v>
      </c>
      <c r="E521" s="4" t="str">
        <f t="shared" si="8"/>
        <v>1579302 - VACUNA GAMMAGLOBULINA ANTITETÁNICA/TOXOIDE TETÁNICO - DOBLE ADULTO</v>
      </c>
    </row>
    <row r="522" spans="1:5" x14ac:dyDescent="0.25">
      <c r="A522" s="3">
        <v>2360302</v>
      </c>
      <c r="B522" s="3">
        <v>49018</v>
      </c>
      <c r="C522" s="3" t="s">
        <v>862</v>
      </c>
      <c r="D522" s="3" t="s">
        <v>865</v>
      </c>
      <c r="E522" s="4" t="str">
        <f t="shared" si="8"/>
        <v>2360302 - VACUNA GAMMAGLOBULINA ANTITETÁNICA/TOXOIDE TETÁNICO - GAMMATET 500</v>
      </c>
    </row>
    <row r="523" spans="1:5" x14ac:dyDescent="0.25">
      <c r="A523" s="3">
        <v>1932701</v>
      </c>
      <c r="B523" s="3">
        <v>41468</v>
      </c>
      <c r="C523" s="3" t="s">
        <v>866</v>
      </c>
      <c r="D523" s="3" t="s">
        <v>867</v>
      </c>
      <c r="E523" s="4" t="str">
        <f t="shared" si="8"/>
        <v>1932701 - VACUNA GAMMAGLOBULINA HUMANA ANTI-D (Rho) - TETABULIN 500</v>
      </c>
    </row>
    <row r="524" spans="1:5" x14ac:dyDescent="0.25">
      <c r="A524" s="3">
        <v>1555801</v>
      </c>
      <c r="B524" s="3">
        <v>24116</v>
      </c>
      <c r="C524" s="3" t="s">
        <v>868</v>
      </c>
      <c r="D524" s="3" t="s">
        <v>869</v>
      </c>
      <c r="E524" s="4" t="str">
        <f t="shared" si="8"/>
        <v>1555801 - VACUNA QUÍNTUPLE ACELULAR - Difteria/Hib/Tétanos/Tos ferina/Poliomelitis - tetanogama 500 ui</v>
      </c>
    </row>
    <row r="525" spans="1:5" x14ac:dyDescent="0.25">
      <c r="A525" s="3">
        <v>1339501</v>
      </c>
      <c r="B525" s="3">
        <v>29426</v>
      </c>
      <c r="C525" s="3" t="s">
        <v>870</v>
      </c>
      <c r="D525" s="3" t="s">
        <v>871</v>
      </c>
      <c r="E525" s="4" t="str">
        <f t="shared" si="8"/>
        <v>1339501 - VACUNA SÉXTUPLE ACELULAR - Difteria/Hib/Hep B/Tétanos/Tos ferina/Poliomelitis - RHOPHYLAC 300</v>
      </c>
    </row>
    <row r="526" spans="1:5" x14ac:dyDescent="0.25">
      <c r="A526" s="3">
        <v>2448201</v>
      </c>
      <c r="B526" s="3">
        <v>50463</v>
      </c>
      <c r="C526" s="3" t="s">
        <v>870</v>
      </c>
      <c r="D526" s="3" t="s">
        <v>872</v>
      </c>
      <c r="E526" s="4" t="str">
        <f t="shared" si="8"/>
        <v xml:space="preserve">2448201 - VACUNA SÉXTUPLE ACELULAR - Difteria/Hib/Hep B/Tétanos/Tos ferina/Poliomelitis - PENTAXIM  </v>
      </c>
    </row>
    <row r="527" spans="1:5" x14ac:dyDescent="0.25">
      <c r="A527" s="3">
        <v>2106701</v>
      </c>
      <c r="B527" s="3">
        <v>44722</v>
      </c>
      <c r="C527" s="3" t="s">
        <v>873</v>
      </c>
      <c r="D527" s="3" t="s">
        <v>874</v>
      </c>
      <c r="E527" s="4" t="str">
        <f t="shared" si="8"/>
        <v>2106701 - VACUNA TRIPLE BACTERIANA ACELULAR - Difteria/Pertusis/Tétanos - INFARIX</v>
      </c>
    </row>
    <row r="528" spans="1:5" x14ac:dyDescent="0.25">
      <c r="A528" s="3">
        <v>1339601</v>
      </c>
      <c r="B528" s="3">
        <v>31190</v>
      </c>
      <c r="C528" s="3" t="s">
        <v>873</v>
      </c>
      <c r="D528" s="3" t="s">
        <v>875</v>
      </c>
      <c r="E528" s="4" t="str">
        <f t="shared" si="8"/>
        <v>1339601 - VACUNA TRIPLE BACTERIANA ACELULAR - Difteria/Pertusis/Tétanos - HEXAXIM</v>
      </c>
    </row>
    <row r="529" spans="1:5" x14ac:dyDescent="0.25">
      <c r="A529" s="3">
        <v>284601</v>
      </c>
      <c r="B529" s="3">
        <v>5383</v>
      </c>
      <c r="C529" s="3" t="s">
        <v>464</v>
      </c>
      <c r="D529" s="3" t="s">
        <v>876</v>
      </c>
      <c r="E529" s="4" t="str">
        <f t="shared" si="8"/>
        <v>284601 - VACUNA TRIPLE VIRAL - Parotiditis/Rubéola/Sarampión - ADACEL</v>
      </c>
    </row>
    <row r="530" spans="1:5" x14ac:dyDescent="0.25">
      <c r="A530" s="3">
        <v>734103</v>
      </c>
      <c r="B530" s="3">
        <v>200519</v>
      </c>
      <c r="C530" s="3" t="s">
        <v>465</v>
      </c>
      <c r="D530" s="3" t="s">
        <v>877</v>
      </c>
      <c r="E530" s="4" t="str">
        <f t="shared" si="8"/>
        <v xml:space="preserve">734103 - VANCOMICINA 500 MG FCO AMP - BUSTRIX  </v>
      </c>
    </row>
    <row r="531" spans="1:5" x14ac:dyDescent="0.25">
      <c r="A531" s="3">
        <v>1197401</v>
      </c>
      <c r="B531" s="3">
        <v>200520</v>
      </c>
      <c r="C531" s="3" t="s">
        <v>878</v>
      </c>
      <c r="D531" s="3" t="s">
        <v>879</v>
      </c>
      <c r="E531" s="4" t="str">
        <f t="shared" si="8"/>
        <v>1197401 - VASELINA + LANOLINA X 3,5 G UNG OFT - MMR II</v>
      </c>
    </row>
    <row r="532" spans="1:5" x14ac:dyDescent="0.25">
      <c r="A532" s="3">
        <v>459302</v>
      </c>
      <c r="B532" s="3">
        <v>200521</v>
      </c>
      <c r="C532" s="3" t="s">
        <v>880</v>
      </c>
      <c r="D532" s="3"/>
      <c r="E532" s="4" t="str">
        <f t="shared" si="8"/>
        <v xml:space="preserve">459302 - VASELINA LIQ X 250 ML - </v>
      </c>
    </row>
    <row r="533" spans="1:5" x14ac:dyDescent="0.25">
      <c r="A533" s="3">
        <v>459303</v>
      </c>
      <c r="B533" s="3">
        <v>200522</v>
      </c>
      <c r="C533" s="3" t="s">
        <v>881</v>
      </c>
      <c r="D533" s="3"/>
      <c r="E533" s="4" t="str">
        <f t="shared" si="8"/>
        <v xml:space="preserve">459303 - VASELINA LIQ X 500 ML - </v>
      </c>
    </row>
    <row r="534" spans="1:5" x14ac:dyDescent="0.25">
      <c r="A534" s="3">
        <v>200523</v>
      </c>
      <c r="B534" s="3">
        <v>200523</v>
      </c>
      <c r="C534" s="3" t="s">
        <v>882</v>
      </c>
      <c r="D534" s="3"/>
      <c r="E534" s="4" t="str">
        <f t="shared" si="8"/>
        <v xml:space="preserve">200523 - VASELINA SOLIDA X 1 KG - </v>
      </c>
    </row>
    <row r="535" spans="1:5" x14ac:dyDescent="0.25">
      <c r="A535" s="3">
        <v>2079201</v>
      </c>
      <c r="B535" s="3">
        <v>200524</v>
      </c>
      <c r="C535" s="3" t="s">
        <v>466</v>
      </c>
      <c r="D535" s="3"/>
      <c r="E535" s="4" t="str">
        <f t="shared" si="8"/>
        <v xml:space="preserve">2079201 - VASOPRESINA 20UI AMPOLLA X 1 GENERICO - </v>
      </c>
    </row>
    <row r="536" spans="1:5" x14ac:dyDescent="0.25">
      <c r="A536" s="3">
        <v>1345802</v>
      </c>
      <c r="B536" s="3">
        <v>200525</v>
      </c>
      <c r="C536" s="3" t="s">
        <v>467</v>
      </c>
      <c r="D536" s="3"/>
      <c r="E536" s="4" t="str">
        <f t="shared" si="8"/>
        <v xml:space="preserve">1345802 - VECURONIO 10 MG FCO-AMP X 10ML - </v>
      </c>
    </row>
    <row r="537" spans="1:5" x14ac:dyDescent="0.25">
      <c r="A537" s="3">
        <v>213301</v>
      </c>
      <c r="B537" s="3">
        <v>200526</v>
      </c>
      <c r="C537" s="3" t="s">
        <v>883</v>
      </c>
      <c r="D537" s="3" t="s">
        <v>884</v>
      </c>
      <c r="E537" s="4" t="str">
        <f t="shared" si="8"/>
        <v>213301 - VITAMINA A-BÓRICO, ÁCIDO-OXIDO DE ZINC CREMA X 50 gr - novopressina</v>
      </c>
    </row>
    <row r="538" spans="1:5" x14ac:dyDescent="0.25">
      <c r="A538" s="3">
        <v>443401</v>
      </c>
      <c r="B538" s="3">
        <v>200528</v>
      </c>
      <c r="C538" s="3" t="s">
        <v>885</v>
      </c>
      <c r="D538" s="3"/>
      <c r="E538" s="4" t="str">
        <f t="shared" si="8"/>
        <v xml:space="preserve">443401 - VITAMINA ADC X 20 ML GOTAS - </v>
      </c>
    </row>
    <row r="539" spans="1:5" x14ac:dyDescent="0.25">
      <c r="A539" s="3">
        <v>424301</v>
      </c>
      <c r="B539" s="3">
        <v>200529</v>
      </c>
      <c r="C539" s="3" t="s">
        <v>886</v>
      </c>
      <c r="D539" s="3"/>
      <c r="E539" s="4" t="str">
        <f t="shared" si="8"/>
        <v xml:space="preserve">424301 - VITAMINA D2 X 10 ML GOTAS - </v>
      </c>
    </row>
    <row r="540" spans="1:5" x14ac:dyDescent="0.25">
      <c r="A540" s="3">
        <v>72801</v>
      </c>
      <c r="B540" s="3">
        <v>200530</v>
      </c>
      <c r="C540" s="3" t="s">
        <v>887</v>
      </c>
      <c r="D540" s="3"/>
      <c r="E540" s="4" t="str">
        <f t="shared" si="8"/>
        <v xml:space="preserve">72801 - VITAMINA D3 0,25 MCG COMP(CALCITRIOL) - </v>
      </c>
    </row>
    <row r="541" spans="1:5" x14ac:dyDescent="0.25">
      <c r="A541" s="3">
        <v>424413</v>
      </c>
      <c r="B541" s="3">
        <v>200544</v>
      </c>
      <c r="C541" s="3" t="s">
        <v>888</v>
      </c>
      <c r="D541" s="3"/>
      <c r="E541" s="4" t="str">
        <f t="shared" si="8"/>
        <v xml:space="preserve">424413 - VITAMINA E 200 MG CAPSULAS X 1 GENERICO - </v>
      </c>
    </row>
    <row r="542" spans="1:5" x14ac:dyDescent="0.25">
      <c r="A542" s="3">
        <v>1122201</v>
      </c>
      <c r="B542" s="3">
        <v>200531</v>
      </c>
      <c r="C542" s="3" t="s">
        <v>468</v>
      </c>
      <c r="D542" s="3"/>
      <c r="E542" s="4" t="str">
        <f t="shared" si="8"/>
        <v xml:space="preserve">1122201 - VITAMINA K 1 MG AMP IM/SC - </v>
      </c>
    </row>
    <row r="543" spans="1:5" x14ac:dyDescent="0.25">
      <c r="A543" s="3">
        <v>746502</v>
      </c>
      <c r="B543" s="3">
        <v>200532</v>
      </c>
      <c r="C543" s="3" t="s">
        <v>469</v>
      </c>
      <c r="D543" s="3" t="s">
        <v>889</v>
      </c>
      <c r="E543" s="4" t="str">
        <f t="shared" si="8"/>
        <v>746502 - VITAMINA K 10 MG AMP EV/ORAL - tanvimil E</v>
      </c>
    </row>
    <row r="544" spans="1:5" x14ac:dyDescent="0.25">
      <c r="A544" s="3">
        <v>470203</v>
      </c>
      <c r="B544" s="3">
        <v>200533</v>
      </c>
      <c r="C544" s="3" t="s">
        <v>470</v>
      </c>
      <c r="D544" s="3"/>
      <c r="E544" s="4" t="str">
        <f t="shared" si="8"/>
        <v xml:space="preserve">470203 - VITAMINA K 10 MG AMP IM - </v>
      </c>
    </row>
    <row r="545" spans="1:5" x14ac:dyDescent="0.25">
      <c r="A545" s="3">
        <v>1542503</v>
      </c>
      <c r="B545" s="3">
        <v>200542</v>
      </c>
      <c r="C545" s="3" t="s">
        <v>471</v>
      </c>
      <c r="D545" s="3" t="s">
        <v>890</v>
      </c>
      <c r="E545" s="4" t="str">
        <f t="shared" si="8"/>
        <v>1542503 - VORICONAZOL 200 MG AMP - KONAKION</v>
      </c>
    </row>
    <row r="546" spans="1:5" x14ac:dyDescent="0.25">
      <c r="A546" s="3">
        <v>919002</v>
      </c>
      <c r="B546" s="3">
        <v>200589</v>
      </c>
      <c r="C546" s="3" t="s">
        <v>891</v>
      </c>
      <c r="D546" s="3"/>
      <c r="E546" s="4" t="str">
        <f t="shared" si="8"/>
        <v xml:space="preserve">919002 - WARFARINA 5 MG - </v>
      </c>
    </row>
    <row r="547" spans="1:5" x14ac:dyDescent="0.25">
      <c r="A547" s="3">
        <v>1056804</v>
      </c>
      <c r="B547" s="3">
        <v>200534</v>
      </c>
      <c r="C547" s="3" t="s">
        <v>892</v>
      </c>
      <c r="D547" s="3" t="s">
        <v>893</v>
      </c>
      <c r="E547" s="4" t="str">
        <f t="shared" si="8"/>
        <v>1056804 - ZIDOVUDINA 10 MG/ML JBE X 240 ML - v-fend</v>
      </c>
    </row>
    <row r="548" spans="1:5" x14ac:dyDescent="0.25">
      <c r="A548" s="3">
        <v>1056801</v>
      </c>
      <c r="B548" s="3">
        <v>200535</v>
      </c>
      <c r="C548" s="3" t="s">
        <v>472</v>
      </c>
      <c r="D548" s="3"/>
      <c r="E548" s="4" t="str">
        <f t="shared" si="8"/>
        <v xml:space="preserve">1056801 - ZIDOVUDINA 200 MG FCO-AMP - </v>
      </c>
    </row>
    <row r="549" spans="1:5" x14ac:dyDescent="0.25">
      <c r="A549" s="23">
        <v>496901</v>
      </c>
      <c r="B549" s="23">
        <v>200536</v>
      </c>
      <c r="C549" s="23" t="s">
        <v>894</v>
      </c>
      <c r="D549" s="3"/>
      <c r="E549" s="4" t="str">
        <f t="shared" si="8"/>
        <v xml:space="preserve">496901 - ZOLPIDEM 10 MG COMP - </v>
      </c>
    </row>
    <row r="550" spans="1:5" x14ac:dyDescent="0.25">
      <c r="A550" s="24">
        <v>1485001</v>
      </c>
      <c r="B550" s="24" t="s">
        <v>895</v>
      </c>
      <c r="C550" s="24" t="s">
        <v>895</v>
      </c>
      <c r="D550" s="3"/>
      <c r="E550" s="4" t="str">
        <f t="shared" si="8"/>
        <v xml:space="preserve">1485001 - ESPESAN / ABBOTT - </v>
      </c>
    </row>
    <row r="551" spans="1:5" x14ac:dyDescent="0.25">
      <c r="A551" s="24">
        <v>389902</v>
      </c>
      <c r="B551" s="24" t="s">
        <v>896</v>
      </c>
      <c r="C551" s="24" t="s">
        <v>896</v>
      </c>
      <c r="D551" s="23"/>
      <c r="E551" s="4" t="str">
        <f t="shared" si="8"/>
        <v xml:space="preserve">389902 - SECALBUM / NUTRICIA-BAGO - </v>
      </c>
    </row>
    <row r="552" spans="1:5" x14ac:dyDescent="0.25">
      <c r="A552" s="24">
        <v>237601</v>
      </c>
      <c r="B552" s="24" t="s">
        <v>897</v>
      </c>
      <c r="C552" s="24" t="s">
        <v>897</v>
      </c>
      <c r="D552" s="24"/>
      <c r="E552" s="4" t="str">
        <f t="shared" si="8"/>
        <v xml:space="preserve">237601 - KAS 1000 / NUTRICIA-BAGO - </v>
      </c>
    </row>
    <row r="553" spans="1:5" x14ac:dyDescent="0.25">
      <c r="A553" s="24">
        <v>352302</v>
      </c>
      <c r="B553" s="24" t="s">
        <v>898</v>
      </c>
      <c r="C553" s="24" t="s">
        <v>898</v>
      </c>
      <c r="D553" s="24"/>
      <c r="E553" s="4" t="str">
        <f t="shared" si="8"/>
        <v xml:space="preserve">352302 - POLIMEROSA / NUTRICIA-BAGO - </v>
      </c>
    </row>
    <row r="554" spans="1:5" x14ac:dyDescent="0.25">
      <c r="A554" s="24">
        <v>1760004</v>
      </c>
      <c r="B554" s="24" t="s">
        <v>899</v>
      </c>
      <c r="C554" s="24" t="s">
        <v>899</v>
      </c>
      <c r="D554" s="24"/>
      <c r="E554" s="4" t="str">
        <f t="shared" si="8"/>
        <v xml:space="preserve">1760004 - NUTRILON PREMATUROS 1 BOTELLA X 70 ML - </v>
      </c>
    </row>
    <row r="555" spans="1:5" x14ac:dyDescent="0.25">
      <c r="A555" s="24">
        <v>1760004</v>
      </c>
      <c r="B555" s="24" t="s">
        <v>900</v>
      </c>
      <c r="C555" s="24" t="s">
        <v>900</v>
      </c>
      <c r="D555" s="24"/>
      <c r="E555" s="4" t="str">
        <f t="shared" si="8"/>
        <v xml:space="preserve">1760004 - ENFAMIL PREMATURO 24 KCAL MED JHONSON x 48 - </v>
      </c>
    </row>
    <row r="556" spans="1:5" x14ac:dyDescent="0.25">
      <c r="A556" s="24">
        <v>2479901</v>
      </c>
      <c r="B556" s="24" t="s">
        <v>901</v>
      </c>
      <c r="C556" s="24" t="s">
        <v>901</v>
      </c>
      <c r="D556" s="24"/>
      <c r="E556" s="4" t="str">
        <f t="shared" si="8"/>
        <v xml:space="preserve">2479901 - ENFAMIL PREMATURO 30 KCAL MED JHONSON x 48 - </v>
      </c>
    </row>
    <row r="557" spans="1:5" x14ac:dyDescent="0.25">
      <c r="A557" s="24">
        <v>602702</v>
      </c>
      <c r="B557" s="24" t="s">
        <v>902</v>
      </c>
      <c r="C557" s="24" t="s">
        <v>902</v>
      </c>
      <c r="D557" s="24"/>
      <c r="E557" s="4" t="str">
        <f t="shared" si="8"/>
        <v xml:space="preserve">602702 - JEVITY X 1 L / ABBOTT - </v>
      </c>
    </row>
    <row r="558" spans="1:5" x14ac:dyDescent="0.25">
      <c r="A558" s="24">
        <v>1035801</v>
      </c>
      <c r="B558" s="24" t="s">
        <v>903</v>
      </c>
      <c r="C558" s="24" t="s">
        <v>903</v>
      </c>
      <c r="D558" s="24"/>
      <c r="E558" s="4" t="str">
        <f t="shared" si="8"/>
        <v xml:space="preserve">1035801 - ALTERNA X 1 L / ABBOTT - </v>
      </c>
    </row>
    <row r="559" spans="1:5" x14ac:dyDescent="0.25">
      <c r="A559" s="24">
        <v>727901</v>
      </c>
      <c r="B559" s="24" t="s">
        <v>904</v>
      </c>
      <c r="C559" s="24" t="s">
        <v>904</v>
      </c>
      <c r="D559" s="24"/>
      <c r="E559" s="4" t="str">
        <f t="shared" si="8"/>
        <v xml:space="preserve">727901 - OSMOLITE X 1 L / ABBOTT - </v>
      </c>
    </row>
    <row r="560" spans="1:5" x14ac:dyDescent="0.25">
      <c r="A560" s="24">
        <v>1058901</v>
      </c>
      <c r="B560" s="24" t="s">
        <v>905</v>
      </c>
      <c r="C560" s="24" t="s">
        <v>905</v>
      </c>
      <c r="D560" s="24"/>
      <c r="E560" s="4" t="str">
        <f t="shared" si="8"/>
        <v xml:space="preserve">1058901 - GLUCERNA  X 1 L / ABBOTT - </v>
      </c>
    </row>
    <row r="561" spans="1:5" x14ac:dyDescent="0.25">
      <c r="A561" s="24">
        <v>1749803</v>
      </c>
      <c r="B561" s="24" t="s">
        <v>906</v>
      </c>
      <c r="C561" s="24" t="s">
        <v>906</v>
      </c>
      <c r="D561" s="24"/>
      <c r="E561" s="4" t="str">
        <f t="shared" si="8"/>
        <v xml:space="preserve">1749803 - DIASIP / NUTRICIA-BAGO - </v>
      </c>
    </row>
    <row r="562" spans="1:5" x14ac:dyDescent="0.25">
      <c r="A562" s="24">
        <v>2452101</v>
      </c>
      <c r="B562" s="24" t="s">
        <v>907</v>
      </c>
      <c r="C562" s="24" t="s">
        <v>907</v>
      </c>
      <c r="D562" s="24"/>
      <c r="E562" s="4" t="str">
        <f t="shared" si="8"/>
        <v xml:space="preserve">2452101 - GLUCERNA x 237 ml - </v>
      </c>
    </row>
    <row r="563" spans="1:5" x14ac:dyDescent="0.25">
      <c r="A563" s="24">
        <v>2494301</v>
      </c>
      <c r="B563" s="24" t="s">
        <v>908</v>
      </c>
      <c r="C563" s="24" t="s">
        <v>908</v>
      </c>
      <c r="D563" s="24"/>
      <c r="E563" s="4" t="str">
        <f t="shared" si="8"/>
        <v xml:space="preserve">2494301 - NEPRO / ABBOTT X 237 ML - </v>
      </c>
    </row>
    <row r="564" spans="1:5" x14ac:dyDescent="0.25">
      <c r="A564" s="24">
        <v>2947404</v>
      </c>
      <c r="B564" s="24" t="s">
        <v>909</v>
      </c>
      <c r="C564" s="24" t="s">
        <v>909</v>
      </c>
      <c r="D564" s="24"/>
      <c r="E564" s="4" t="str">
        <f t="shared" si="8"/>
        <v xml:space="preserve">2947404 - SANCOR 1 - </v>
      </c>
    </row>
    <row r="565" spans="1:5" x14ac:dyDescent="0.25">
      <c r="A565" s="24">
        <v>2947502</v>
      </c>
      <c r="B565" s="24" t="s">
        <v>910</v>
      </c>
      <c r="C565" s="24" t="s">
        <v>910</v>
      </c>
      <c r="D565" s="24"/>
      <c r="E565" s="4" t="str">
        <f t="shared" si="8"/>
        <v xml:space="preserve">2947502 - SANCOR 2 - </v>
      </c>
    </row>
    <row r="566" spans="1:5" x14ac:dyDescent="0.25">
      <c r="A566" s="24">
        <v>2694701</v>
      </c>
      <c r="B566" s="24" t="s">
        <v>587</v>
      </c>
      <c r="C566" s="24" t="s">
        <v>587</v>
      </c>
      <c r="D566" s="24"/>
      <c r="E566" s="4" t="str">
        <f t="shared" si="8"/>
        <v xml:space="preserve">2694701 - ENSURE CLINICAL - </v>
      </c>
    </row>
    <row r="567" spans="1:5" x14ac:dyDescent="0.25">
      <c r="A567" s="24">
        <v>2139307</v>
      </c>
      <c r="B567" s="24" t="s">
        <v>911</v>
      </c>
      <c r="C567" s="24" t="s">
        <v>911</v>
      </c>
      <c r="D567" s="24"/>
      <c r="E567" s="4" t="str">
        <f t="shared" si="8"/>
        <v xml:space="preserve">2139307 - ENSURE / ABBOTT x 220 ml - </v>
      </c>
    </row>
    <row r="568" spans="1:5" x14ac:dyDescent="0.25">
      <c r="A568" s="24">
        <v>2285901</v>
      </c>
      <c r="B568" s="24" t="s">
        <v>912</v>
      </c>
      <c r="C568" s="24" t="s">
        <v>912</v>
      </c>
      <c r="D568" s="24"/>
      <c r="E568" s="4" t="str">
        <f t="shared" si="8"/>
        <v xml:space="preserve">2285901 - SMOFKABIVEN PERIFERICO BOLSA X 1904 ML - </v>
      </c>
    </row>
    <row r="569" spans="1:5" x14ac:dyDescent="0.25">
      <c r="A569" s="24">
        <v>2286001</v>
      </c>
      <c r="B569" s="24" t="s">
        <v>913</v>
      </c>
      <c r="C569" s="24" t="s">
        <v>913</v>
      </c>
      <c r="D569" s="24"/>
      <c r="E569" s="4" t="str">
        <f t="shared" si="8"/>
        <v xml:space="preserve">2286001 - SMOFKABIVEN CENTRAL BOLSA X 1970 ML - </v>
      </c>
    </row>
    <row r="570" spans="1:5" x14ac:dyDescent="0.25">
      <c r="A570" s="24">
        <v>7001477</v>
      </c>
      <c r="B570" s="24" t="s">
        <v>914</v>
      </c>
      <c r="C570" s="24" t="s">
        <v>914</v>
      </c>
      <c r="D570" s="24"/>
      <c r="E570" s="4" t="str">
        <f t="shared" si="8"/>
        <v xml:space="preserve">7001477 - NUTRICION PARENTERAL NEO ( 0-250 ML ) X 1 MAGISTRALES - </v>
      </c>
    </row>
    <row r="571" spans="1:5" x14ac:dyDescent="0.25">
      <c r="A571" s="24">
        <v>7100647</v>
      </c>
      <c r="B571" s="24" t="s">
        <v>915</v>
      </c>
      <c r="C571" s="24" t="s">
        <v>915</v>
      </c>
      <c r="D571" s="24"/>
      <c r="E571" s="4" t="str">
        <f t="shared" si="8"/>
        <v xml:space="preserve">7100647 - NUTRICION PARENTERAL ESTANDAR NEO X 75 ML (BOLSA CERO) X 1 CMI - </v>
      </c>
    </row>
    <row r="572" spans="1:5" x14ac:dyDescent="0.25">
      <c r="A572" s="24">
        <v>2476701</v>
      </c>
      <c r="B572" s="24" t="s">
        <v>916</v>
      </c>
      <c r="C572" s="24" t="s">
        <v>916</v>
      </c>
      <c r="D572" s="24"/>
      <c r="E572" s="4" t="str">
        <f t="shared" si="8"/>
        <v xml:space="preserve">2476701 - NUTRAMIGEN LGG X 400 GR - </v>
      </c>
    </row>
    <row r="573" spans="1:5" x14ac:dyDescent="0.25">
      <c r="A573" s="24">
        <v>2384401</v>
      </c>
      <c r="B573" s="24" t="s">
        <v>917</v>
      </c>
      <c r="C573" s="24" t="s">
        <v>917</v>
      </c>
      <c r="D573" s="24"/>
      <c r="E573" s="4" t="str">
        <f t="shared" si="8"/>
        <v xml:space="preserve">2384401 - MCT OIL X 500 ML (TECEEME) - </v>
      </c>
    </row>
    <row r="574" spans="1:5" x14ac:dyDescent="0.25">
      <c r="A574" s="24">
        <v>2112901</v>
      </c>
      <c r="B574" s="24" t="s">
        <v>918</v>
      </c>
      <c r="C574" s="24" t="s">
        <v>918</v>
      </c>
      <c r="D574" s="24"/>
      <c r="E574" s="4" t="str">
        <f t="shared" si="8"/>
        <v xml:space="preserve">2112901 - NUTRILOM CONFORT X 400 GR - </v>
      </c>
    </row>
    <row r="575" spans="1:5" x14ac:dyDescent="0.25">
      <c r="A575" s="24">
        <v>2130301</v>
      </c>
      <c r="B575" s="24" t="s">
        <v>919</v>
      </c>
      <c r="C575" s="24" t="s">
        <v>919</v>
      </c>
      <c r="D575" s="24"/>
      <c r="E575" s="4" t="str">
        <f t="shared" si="8"/>
        <v xml:space="preserve">2130301 - ALFARE X 400 GR - </v>
      </c>
    </row>
    <row r="576" spans="1:5" x14ac:dyDescent="0.25">
      <c r="A576" s="24">
        <v>2124001</v>
      </c>
      <c r="B576" s="24" t="s">
        <v>920</v>
      </c>
      <c r="C576" s="24" t="s">
        <v>920</v>
      </c>
      <c r="D576" s="24"/>
      <c r="E576" s="4" t="str">
        <f t="shared" si="8"/>
        <v xml:space="preserve">2124001 - NUTRILOM PEPTI JUNIORS (PROTEINA HIDROL) - </v>
      </c>
    </row>
    <row r="577" spans="1:5" x14ac:dyDescent="0.25">
      <c r="A577" s="24">
        <v>2480001</v>
      </c>
      <c r="B577" s="24" t="s">
        <v>921</v>
      </c>
      <c r="C577" s="24" t="s">
        <v>921</v>
      </c>
      <c r="D577" s="24"/>
      <c r="E577" s="4" t="str">
        <f t="shared" si="8"/>
        <v xml:space="preserve">2480001 - ENFAMIL HUMAN MILK FORTIFIER A.X 100 X 5 ML - </v>
      </c>
    </row>
    <row r="578" spans="1:5" x14ac:dyDescent="0.25">
      <c r="A578" s="24">
        <v>2070801</v>
      </c>
      <c r="B578" s="24" t="s">
        <v>922</v>
      </c>
      <c r="C578" s="24" t="s">
        <v>922</v>
      </c>
      <c r="D578" s="24"/>
      <c r="E578" s="4" t="str">
        <f t="shared" si="8"/>
        <v xml:space="preserve">2070801 - NUTRIPREM SOB.X 50 NUTRICIA-BAGO - </v>
      </c>
    </row>
    <row r="579" spans="1:5" x14ac:dyDescent="0.25">
      <c r="A579" s="24">
        <v>7001172</v>
      </c>
      <c r="B579" s="24" t="s">
        <v>923</v>
      </c>
      <c r="C579" s="24" t="s">
        <v>923</v>
      </c>
      <c r="D579" s="24"/>
      <c r="E579" s="4" t="str">
        <f t="shared" ref="E579:E619" si="9">_xlfn.CONCAT(A579, " - ",C579, " - ",D579)</f>
        <v xml:space="preserve">7001172 - SOL. ACETICO 5% X 250 - </v>
      </c>
    </row>
    <row r="580" spans="1:5" x14ac:dyDescent="0.25">
      <c r="A580" s="24">
        <v>7001183</v>
      </c>
      <c r="B580" s="24" t="s">
        <v>924</v>
      </c>
      <c r="C580" s="24" t="s">
        <v>924</v>
      </c>
      <c r="D580" s="24"/>
      <c r="E580" s="4" t="str">
        <f t="shared" si="9"/>
        <v xml:space="preserve">7001183 - SOL. ACETICO 3% X 250 - </v>
      </c>
    </row>
    <row r="581" spans="1:5" x14ac:dyDescent="0.25">
      <c r="A581" s="24">
        <v>7001600</v>
      </c>
      <c r="B581" s="24" t="s">
        <v>925</v>
      </c>
      <c r="C581" s="24" t="s">
        <v>925</v>
      </c>
      <c r="D581" s="24"/>
      <c r="E581" s="4" t="str">
        <f t="shared" si="9"/>
        <v xml:space="preserve">7001600 - ACIDO FOLICO 1 MG CAPSULAS  - </v>
      </c>
    </row>
    <row r="582" spans="1:5" x14ac:dyDescent="0.25">
      <c r="A582" s="24">
        <v>7001372</v>
      </c>
      <c r="B582" s="24" t="s">
        <v>926</v>
      </c>
      <c r="C582" s="24" t="s">
        <v>926</v>
      </c>
      <c r="D582" s="24"/>
      <c r="E582" s="4" t="str">
        <f t="shared" si="9"/>
        <v xml:space="preserve">7001372 - ALCOHOL ABSOLUTO AMP  - </v>
      </c>
    </row>
    <row r="583" spans="1:5" x14ac:dyDescent="0.25">
      <c r="A583" s="24">
        <v>44904</v>
      </c>
      <c r="B583" s="24" t="s">
        <v>927</v>
      </c>
      <c r="C583" s="24" t="s">
        <v>927</v>
      </c>
      <c r="D583" s="24"/>
      <c r="E583" s="4" t="str">
        <f t="shared" si="9"/>
        <v xml:space="preserve">44904 - AZUL DE METILENO 1 % AMP - </v>
      </c>
    </row>
    <row r="584" spans="1:5" x14ac:dyDescent="0.25">
      <c r="A584" s="24">
        <v>44905</v>
      </c>
      <c r="B584" s="24" t="s">
        <v>928</v>
      </c>
      <c r="C584" s="24" t="s">
        <v>928</v>
      </c>
      <c r="D584" s="24"/>
      <c r="E584" s="4" t="str">
        <f t="shared" si="9"/>
        <v xml:space="preserve">44905 - AZUL PATENTE AMP - </v>
      </c>
    </row>
    <row r="585" spans="1:5" x14ac:dyDescent="0.25">
      <c r="A585" s="24">
        <v>7001179</v>
      </c>
      <c r="B585" s="24" t="s">
        <v>929</v>
      </c>
      <c r="C585" s="24" t="s">
        <v>929</v>
      </c>
      <c r="D585" s="24"/>
      <c r="E585" s="4" t="str">
        <f t="shared" si="9"/>
        <v xml:space="preserve">7001179 - BICARBONATO DE SODIO  500 MG CAPSULAS - </v>
      </c>
    </row>
    <row r="586" spans="1:5" x14ac:dyDescent="0.25">
      <c r="A586" s="24">
        <v>2000011</v>
      </c>
      <c r="B586" s="24" t="s">
        <v>930</v>
      </c>
      <c r="C586" s="24" t="s">
        <v>930</v>
      </c>
      <c r="D586" s="24"/>
      <c r="E586" s="4" t="str">
        <f t="shared" si="9"/>
        <v xml:space="preserve">2000011 - CAFEINA CITRATO  10 MG/ML AMP - </v>
      </c>
    </row>
    <row r="587" spans="1:5" x14ac:dyDescent="0.25">
      <c r="A587" s="24">
        <v>2000015</v>
      </c>
      <c r="B587" s="24" t="s">
        <v>931</v>
      </c>
      <c r="C587" s="24" t="s">
        <v>931</v>
      </c>
      <c r="D587" s="24"/>
      <c r="E587" s="4" t="str">
        <f t="shared" si="9"/>
        <v xml:space="preserve">2000015 - LACTATO DE CALCIO 250 MG CAPSULAS - </v>
      </c>
    </row>
    <row r="588" spans="1:5" x14ac:dyDescent="0.25">
      <c r="A588" s="24">
        <v>7000029</v>
      </c>
      <c r="B588" s="24" t="s">
        <v>932</v>
      </c>
      <c r="C588" s="24" t="s">
        <v>932</v>
      </c>
      <c r="D588" s="24"/>
      <c r="E588" s="4" t="str">
        <f t="shared" si="9"/>
        <v xml:space="preserve">7000029 - CARBÓN DE MARCACIÓN 4% x 5 ML AMP - </v>
      </c>
    </row>
    <row r="589" spans="1:5" x14ac:dyDescent="0.25">
      <c r="A589" s="24"/>
      <c r="B589" s="24" t="s">
        <v>933</v>
      </c>
      <c r="C589" s="24" t="s">
        <v>933</v>
      </c>
      <c r="D589" s="24"/>
      <c r="E589" s="4" t="str">
        <f t="shared" si="9"/>
        <v xml:space="preserve"> - CARBON ACTIVADO BOLSA X 100 G X 1 MAGISTRALES - </v>
      </c>
    </row>
    <row r="590" spans="1:5" x14ac:dyDescent="0.25">
      <c r="A590" s="24">
        <v>106809</v>
      </c>
      <c r="B590" s="24" t="s">
        <v>934</v>
      </c>
      <c r="C590" s="24" t="s">
        <v>934</v>
      </c>
      <c r="D590" s="24"/>
      <c r="E590" s="4" t="str">
        <f t="shared" si="9"/>
        <v xml:space="preserve">106809 - CREMA BASE X 1 KGR - </v>
      </c>
    </row>
    <row r="591" spans="1:5" x14ac:dyDescent="0.25">
      <c r="A591" s="24">
        <v>2000014</v>
      </c>
      <c r="B591" s="24" t="s">
        <v>935</v>
      </c>
      <c r="C591" s="24" t="s">
        <v>935</v>
      </c>
      <c r="D591" s="24"/>
      <c r="E591" s="4" t="str">
        <f t="shared" si="9"/>
        <v xml:space="preserve">2000014 - FOSFATOS 8,45MG/ML(mono potasico 640 mg / di potasico 160 mg) FCO GOTERO 20 ML - </v>
      </c>
    </row>
    <row r="592" spans="1:5" x14ac:dyDescent="0.25">
      <c r="A592" s="24">
        <v>403009</v>
      </c>
      <c r="B592" s="24" t="s">
        <v>936</v>
      </c>
      <c r="C592" s="24" t="s">
        <v>936</v>
      </c>
      <c r="D592" s="24"/>
      <c r="E592" s="4" t="str">
        <f t="shared" si="9"/>
        <v xml:space="preserve">403009 - SOL. LUGOL x 250 ML - </v>
      </c>
    </row>
    <row r="593" spans="1:5" x14ac:dyDescent="0.25">
      <c r="A593" s="24">
        <v>7001553</v>
      </c>
      <c r="B593" s="24" t="s">
        <v>937</v>
      </c>
      <c r="C593" s="24" t="s">
        <v>937</v>
      </c>
      <c r="D593" s="24"/>
      <c r="E593" s="4" t="str">
        <f t="shared" si="9"/>
        <v xml:space="preserve">7001553 - SOL MONSEL x 250 ML - </v>
      </c>
    </row>
    <row r="594" spans="1:5" x14ac:dyDescent="0.25">
      <c r="A594" s="24">
        <v>7001692</v>
      </c>
      <c r="B594" s="24" t="s">
        <v>938</v>
      </c>
      <c r="C594" s="24" t="s">
        <v>938</v>
      </c>
      <c r="D594" s="24"/>
      <c r="E594" s="4" t="str">
        <f t="shared" si="9"/>
        <v xml:space="preserve">7001692 - TRIANCINOLONA 40 MG/ML x 1 ML  - </v>
      </c>
    </row>
    <row r="595" spans="1:5" x14ac:dyDescent="0.25">
      <c r="A595" s="24">
        <v>7100320</v>
      </c>
      <c r="B595" s="24" t="s">
        <v>939</v>
      </c>
      <c r="C595" s="24" t="s">
        <v>939</v>
      </c>
      <c r="D595" s="24"/>
      <c r="E595" s="4" t="str">
        <f t="shared" si="9"/>
        <v xml:space="preserve">7100320 - SOL. ACIDO TRICLOROACETICO 5% x 100 ML - </v>
      </c>
    </row>
    <row r="596" spans="1:5" x14ac:dyDescent="0.25">
      <c r="A596" s="24">
        <v>7100321</v>
      </c>
      <c r="B596" s="24" t="s">
        <v>940</v>
      </c>
      <c r="C596" s="24" t="s">
        <v>940</v>
      </c>
      <c r="D596" s="24"/>
      <c r="E596" s="4" t="str">
        <f t="shared" si="9"/>
        <v xml:space="preserve">7100321 - SOL. ACIDO TRICLOROACETICO 30% x 100 ML - </v>
      </c>
    </row>
    <row r="597" spans="1:5" x14ac:dyDescent="0.25">
      <c r="A597" s="24">
        <v>605002</v>
      </c>
      <c r="B597" s="24" t="s">
        <v>941</v>
      </c>
      <c r="C597" s="24" t="s">
        <v>941</v>
      </c>
      <c r="D597" s="24"/>
      <c r="E597" s="4" t="str">
        <f t="shared" si="9"/>
        <v xml:space="preserve">605002 - SOL. ACIDOTRICLOROACETICO 80% x 100 ML - </v>
      </c>
    </row>
    <row r="598" spans="1:5" x14ac:dyDescent="0.25">
      <c r="A598" s="24">
        <v>7100305</v>
      </c>
      <c r="B598" s="24" t="s">
        <v>942</v>
      </c>
      <c r="C598" s="24" t="s">
        <v>942</v>
      </c>
      <c r="D598" s="24"/>
      <c r="E598" s="4" t="str">
        <f t="shared" si="9"/>
        <v xml:space="preserve">7100305 - ACETONA (QUITAESMALTE) x 120 ML - </v>
      </c>
    </row>
    <row r="599" spans="1:5" x14ac:dyDescent="0.25">
      <c r="A599" s="24">
        <v>7100306</v>
      </c>
      <c r="B599" s="24" t="s">
        <v>943</v>
      </c>
      <c r="C599" s="24" t="s">
        <v>943</v>
      </c>
      <c r="D599" s="24"/>
      <c r="E599" s="4" t="str">
        <f t="shared" si="9"/>
        <v xml:space="preserve">7100306 - SOL ACIDO TRICLOROACETICO 50% x 100 ML - </v>
      </c>
    </row>
    <row r="600" spans="1:5" x14ac:dyDescent="0.25">
      <c r="A600" s="24">
        <v>7001731</v>
      </c>
      <c r="B600" s="24" t="s">
        <v>944</v>
      </c>
      <c r="C600" s="24" t="s">
        <v>944</v>
      </c>
      <c r="D600" s="24"/>
      <c r="E600" s="4" t="str">
        <f t="shared" si="9"/>
        <v xml:space="preserve">7001731 - ALCOHOL 50% GLICEROL x 2 ML  AMP - </v>
      </c>
    </row>
    <row r="601" spans="1:5" x14ac:dyDescent="0.25">
      <c r="A601" s="24">
        <v>7000652</v>
      </c>
      <c r="B601" s="24" t="s">
        <v>945</v>
      </c>
      <c r="C601" s="24" t="s">
        <v>945</v>
      </c>
      <c r="D601" s="24"/>
      <c r="E601" s="4" t="str">
        <f t="shared" si="9"/>
        <v xml:space="preserve">7000652 - BICARBONATO SOBRES X 25 - </v>
      </c>
    </row>
    <row r="602" spans="1:5" x14ac:dyDescent="0.25">
      <c r="A602" s="24">
        <v>7000733</v>
      </c>
      <c r="B602" s="24" t="s">
        <v>946</v>
      </c>
      <c r="C602" s="24" t="s">
        <v>946</v>
      </c>
      <c r="D602" s="24"/>
      <c r="E602" s="4" t="str">
        <f t="shared" si="9"/>
        <v xml:space="preserve">7000733 - H2O BLANCA - </v>
      </c>
    </row>
    <row r="603" spans="1:5" x14ac:dyDescent="0.25">
      <c r="A603" s="24">
        <v>1266602</v>
      </c>
      <c r="B603" s="24" t="s">
        <v>947</v>
      </c>
      <c r="C603" s="24" t="s">
        <v>947</v>
      </c>
      <c r="D603" s="24"/>
      <c r="E603" s="4" t="str">
        <f t="shared" si="9"/>
        <v xml:space="preserve">1266602 - H2O D´ALIBOUR X 250 ML  - </v>
      </c>
    </row>
    <row r="604" spans="1:5" x14ac:dyDescent="0.25">
      <c r="A604" s="24">
        <v>7000656</v>
      </c>
      <c r="B604" s="24" t="s">
        <v>948</v>
      </c>
      <c r="C604" s="24" t="s">
        <v>948</v>
      </c>
      <c r="D604" s="24"/>
      <c r="E604" s="4" t="str">
        <f t="shared" si="9"/>
        <v xml:space="preserve">7000656 - PARAFINA X 1 KG  - </v>
      </c>
    </row>
    <row r="605" spans="1:5" x14ac:dyDescent="0.25">
      <c r="A605" s="24">
        <v>299902</v>
      </c>
      <c r="B605" s="24" t="s">
        <v>949</v>
      </c>
      <c r="C605" s="24" t="s">
        <v>949</v>
      </c>
      <c r="D605" s="24"/>
      <c r="E605" s="4" t="str">
        <f t="shared" si="9"/>
        <v xml:space="preserve">299902 - PASTA AL AGUA X 50 GR - </v>
      </c>
    </row>
    <row r="606" spans="1:5" x14ac:dyDescent="0.25">
      <c r="A606" s="24">
        <v>1267401</v>
      </c>
      <c r="B606" s="24" t="s">
        <v>950</v>
      </c>
      <c r="C606" s="24" t="s">
        <v>950</v>
      </c>
      <c r="D606" s="24"/>
      <c r="E606" s="4" t="str">
        <f t="shared" si="9"/>
        <v xml:space="preserve">1267401 - PASTA LASSAR X 50 GR - </v>
      </c>
    </row>
    <row r="607" spans="1:5" x14ac:dyDescent="0.25">
      <c r="A607" s="24">
        <v>7100239</v>
      </c>
      <c r="B607" s="24" t="s">
        <v>951</v>
      </c>
      <c r="C607" s="24" t="s">
        <v>951</v>
      </c>
      <c r="D607" s="24"/>
      <c r="E607" s="4" t="str">
        <f t="shared" si="9"/>
        <v xml:space="preserve">7100239 - SUCROSA 24% X 10 ML - </v>
      </c>
    </row>
    <row r="608" spans="1:5" x14ac:dyDescent="0.25">
      <c r="A608" s="24">
        <v>7100249</v>
      </c>
      <c r="B608" s="24" t="s">
        <v>952</v>
      </c>
      <c r="C608" s="24" t="s">
        <v>952</v>
      </c>
      <c r="D608" s="24"/>
      <c r="E608" s="4" t="str">
        <f t="shared" si="9"/>
        <v xml:space="preserve">7100249 - INDIGO CARMIN 3% AMPOLLA X 3 ML - </v>
      </c>
    </row>
    <row r="609" spans="1:5" x14ac:dyDescent="0.25">
      <c r="A609" s="24">
        <v>7001598</v>
      </c>
      <c r="B609" s="24" t="s">
        <v>953</v>
      </c>
      <c r="C609" s="24" t="s">
        <v>953</v>
      </c>
      <c r="D609" s="24"/>
      <c r="E609" s="4" t="str">
        <f t="shared" si="9"/>
        <v xml:space="preserve">7001598 - ESPIRONOLACTONA 4 MG CAPSULAS - </v>
      </c>
    </row>
    <row r="610" spans="1:5" x14ac:dyDescent="0.25">
      <c r="A610" s="24">
        <v>7100286</v>
      </c>
      <c r="B610" s="24" t="s">
        <v>954</v>
      </c>
      <c r="C610" s="24" t="s">
        <v>954</v>
      </c>
      <c r="D610" s="24"/>
      <c r="E610" s="4" t="str">
        <f t="shared" si="9"/>
        <v xml:space="preserve">7100286 - HIDROCLOROTIAZIDA 4 MG CAPSULA - </v>
      </c>
    </row>
    <row r="611" spans="1:5" x14ac:dyDescent="0.25">
      <c r="A611" s="24">
        <v>7001565</v>
      </c>
      <c r="B611" s="24" t="s">
        <v>955</v>
      </c>
      <c r="C611" s="24" t="s">
        <v>955</v>
      </c>
      <c r="D611" s="24"/>
      <c r="E611" s="4" t="str">
        <f t="shared" si="9"/>
        <v xml:space="preserve">7001565 - ACIDO URSODESOXICOLICO SELLOS 15 MG - </v>
      </c>
    </row>
    <row r="612" spans="1:5" x14ac:dyDescent="0.25">
      <c r="A612" s="24">
        <v>7100641</v>
      </c>
      <c r="B612" s="24" t="s">
        <v>956</v>
      </c>
      <c r="C612" s="24" t="s">
        <v>956</v>
      </c>
      <c r="D612" s="24"/>
      <c r="E612" s="4" t="str">
        <f t="shared" si="9"/>
        <v xml:space="preserve">7100641 - N-ACETILCISTEINA 10% X 100 ML X 1 GENERICO - </v>
      </c>
    </row>
    <row r="613" spans="1:5" x14ac:dyDescent="0.25">
      <c r="A613" s="24">
        <v>7100537</v>
      </c>
      <c r="B613" s="24" t="s">
        <v>957</v>
      </c>
      <c r="C613" s="24" t="s">
        <v>957</v>
      </c>
      <c r="D613" s="24"/>
      <c r="E613" s="4" t="str">
        <f t="shared" si="9"/>
        <v xml:space="preserve">7100537 - TOPIRAMATO 10 MG - </v>
      </c>
    </row>
    <row r="614" spans="1:5" x14ac:dyDescent="0.25">
      <c r="A614" s="24">
        <v>7100370</v>
      </c>
      <c r="B614" s="24" t="s">
        <v>958</v>
      </c>
      <c r="C614" s="24" t="s">
        <v>958</v>
      </c>
      <c r="D614" s="24"/>
      <c r="E614" s="4" t="str">
        <f t="shared" si="9"/>
        <v xml:space="preserve">7100370 - TINTA CHINA PURA ESTERIL FRASCO AMP  - </v>
      </c>
    </row>
    <row r="615" spans="1:5" x14ac:dyDescent="0.25">
      <c r="A615" s="88">
        <v>7100650</v>
      </c>
      <c r="B615" s="88" t="s">
        <v>959</v>
      </c>
      <c r="C615" s="88" t="s">
        <v>959</v>
      </c>
      <c r="D615" s="24"/>
      <c r="E615" s="4" t="str">
        <f t="shared" si="9"/>
        <v xml:space="preserve">7100650 - AMIODARONA 10 MG SELLOS X 1 GENERICO - </v>
      </c>
    </row>
    <row r="616" spans="1:5" x14ac:dyDescent="0.25">
      <c r="A616" s="24">
        <v>1175104</v>
      </c>
      <c r="B616" s="24"/>
      <c r="C616" s="24" t="s">
        <v>960</v>
      </c>
      <c r="D616" s="24"/>
      <c r="E616" s="4" t="str">
        <f t="shared" si="9"/>
        <v xml:space="preserve">1175104 - SOLUCION POTASIO MOLAR X 100 ML SACHET - </v>
      </c>
    </row>
    <row r="617" spans="1:5" x14ac:dyDescent="0.25">
      <c r="A617" s="24">
        <v>2539101</v>
      </c>
      <c r="B617" s="88"/>
      <c r="C617" s="88" t="s">
        <v>961</v>
      </c>
      <c r="D617" s="88"/>
      <c r="E617" s="4" t="str">
        <f t="shared" si="9"/>
        <v xml:space="preserve">2539101 - SOLUCION CLORURO SODIO 0,9 % X 100 ML - </v>
      </c>
    </row>
    <row r="618" spans="1:5" x14ac:dyDescent="0.25">
      <c r="A618" s="94"/>
      <c r="B618" s="95"/>
      <c r="C618" s="95" t="s">
        <v>962</v>
      </c>
      <c r="D618" s="95"/>
      <c r="E618" s="96" t="str">
        <f t="shared" si="9"/>
        <v xml:space="preserve"> - SOLUCION DEXTROSA AL 5 % EN FISIO X 500 ML - </v>
      </c>
    </row>
    <row r="619" spans="1:5" x14ac:dyDescent="0.25">
      <c r="A619" s="25">
        <v>1146802</v>
      </c>
      <c r="B619" s="95">
        <v>200630</v>
      </c>
      <c r="C619" s="95" t="s">
        <v>963</v>
      </c>
      <c r="D619" s="95"/>
      <c r="E619" s="96" t="str">
        <f t="shared" si="9"/>
        <v xml:space="preserve">1146802 - TRAMADOL 50 MG COMP X 1 HSJD - 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E1B0A-B8EC-4D79-BB6E-8E4A94E03C71}">
  <sheetPr codeName="Hoja5"/>
  <dimension ref="A1:A17"/>
  <sheetViews>
    <sheetView workbookViewId="0">
      <selection activeCell="A3" sqref="A3"/>
    </sheetView>
  </sheetViews>
  <sheetFormatPr baseColWidth="10" defaultColWidth="11.42578125" defaultRowHeight="15" x14ac:dyDescent="0.25"/>
  <sheetData>
    <row r="1" spans="1:1" x14ac:dyDescent="0.25">
      <c r="A1" t="s">
        <v>964</v>
      </c>
    </row>
    <row r="2" spans="1:1" x14ac:dyDescent="0.25">
      <c r="A2" t="s">
        <v>965</v>
      </c>
    </row>
    <row r="3" spans="1:1" x14ac:dyDescent="0.25">
      <c r="A3" t="s">
        <v>966</v>
      </c>
    </row>
    <row r="4" spans="1:1" x14ac:dyDescent="0.25">
      <c r="A4" t="s">
        <v>967</v>
      </c>
    </row>
    <row r="5" spans="1:1" x14ac:dyDescent="0.25">
      <c r="A5" t="s">
        <v>968</v>
      </c>
    </row>
    <row r="6" spans="1:1" x14ac:dyDescent="0.25">
      <c r="A6" t="s">
        <v>969</v>
      </c>
    </row>
    <row r="7" spans="1:1" x14ac:dyDescent="0.25">
      <c r="A7" t="s">
        <v>970</v>
      </c>
    </row>
    <row r="8" spans="1:1" x14ac:dyDescent="0.25">
      <c r="A8" t="s">
        <v>971</v>
      </c>
    </row>
    <row r="9" spans="1:1" x14ac:dyDescent="0.25">
      <c r="A9" t="s">
        <v>972</v>
      </c>
    </row>
    <row r="10" spans="1:1" x14ac:dyDescent="0.25">
      <c r="A10" t="s">
        <v>973</v>
      </c>
    </row>
    <row r="11" spans="1:1" x14ac:dyDescent="0.25">
      <c r="A11" t="s">
        <v>974</v>
      </c>
    </row>
    <row r="12" spans="1:1" x14ac:dyDescent="0.25">
      <c r="A12" t="s">
        <v>975</v>
      </c>
    </row>
    <row r="13" spans="1:1" x14ac:dyDescent="0.25">
      <c r="A13" t="s">
        <v>976</v>
      </c>
    </row>
    <row r="14" spans="1:1" x14ac:dyDescent="0.25">
      <c r="A14" t="s">
        <v>977</v>
      </c>
    </row>
    <row r="15" spans="1:1" x14ac:dyDescent="0.25">
      <c r="A15" t="s">
        <v>978</v>
      </c>
    </row>
    <row r="16" spans="1:1" x14ac:dyDescent="0.25">
      <c r="A16" t="s">
        <v>979</v>
      </c>
    </row>
    <row r="17" spans="1:1" x14ac:dyDescent="0.25">
      <c r="A17" t="s">
        <v>980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A0405-5852-40F6-9F49-2C5A637B48AF}">
  <sheetPr codeName="Hoja7"/>
  <dimension ref="A1:A19"/>
  <sheetViews>
    <sheetView workbookViewId="0">
      <selection activeCell="A19" sqref="A19"/>
    </sheetView>
  </sheetViews>
  <sheetFormatPr baseColWidth="10" defaultColWidth="11.42578125" defaultRowHeight="15" x14ac:dyDescent="0.25"/>
  <cols>
    <col min="1" max="1" width="29.140625" bestFit="1" customWidth="1"/>
  </cols>
  <sheetData>
    <row r="1" spans="1:1" x14ac:dyDescent="0.25">
      <c r="A1" t="s">
        <v>981</v>
      </c>
    </row>
    <row r="2" spans="1:1" x14ac:dyDescent="0.25">
      <c r="A2" t="s">
        <v>982</v>
      </c>
    </row>
    <row r="3" spans="1:1" x14ac:dyDescent="0.25">
      <c r="A3" t="s">
        <v>983</v>
      </c>
    </row>
    <row r="4" spans="1:1" x14ac:dyDescent="0.25">
      <c r="A4" t="s">
        <v>984</v>
      </c>
    </row>
    <row r="5" spans="1:1" x14ac:dyDescent="0.25">
      <c r="A5" t="s">
        <v>985</v>
      </c>
    </row>
    <row r="6" spans="1:1" x14ac:dyDescent="0.25">
      <c r="A6" t="s">
        <v>986</v>
      </c>
    </row>
    <row r="7" spans="1:1" x14ac:dyDescent="0.25">
      <c r="A7" t="s">
        <v>987</v>
      </c>
    </row>
    <row r="8" spans="1:1" x14ac:dyDescent="0.25">
      <c r="A8" t="s">
        <v>988</v>
      </c>
    </row>
    <row r="9" spans="1:1" x14ac:dyDescent="0.25">
      <c r="A9" t="s">
        <v>989</v>
      </c>
    </row>
    <row r="10" spans="1:1" x14ac:dyDescent="0.25">
      <c r="A10" t="s">
        <v>990</v>
      </c>
    </row>
    <row r="11" spans="1:1" x14ac:dyDescent="0.25">
      <c r="A11" t="s">
        <v>991</v>
      </c>
    </row>
    <row r="12" spans="1:1" x14ac:dyDescent="0.25">
      <c r="A12" t="s">
        <v>992</v>
      </c>
    </row>
    <row r="13" spans="1:1" x14ac:dyDescent="0.25">
      <c r="A13" t="s">
        <v>993</v>
      </c>
    </row>
    <row r="14" spans="1:1" x14ac:dyDescent="0.25">
      <c r="A14" t="s">
        <v>994</v>
      </c>
    </row>
    <row r="15" spans="1:1" x14ac:dyDescent="0.25">
      <c r="A15" t="s">
        <v>995</v>
      </c>
    </row>
    <row r="16" spans="1:1" x14ac:dyDescent="0.25">
      <c r="A16" t="s">
        <v>996</v>
      </c>
    </row>
    <row r="17" spans="1:1" x14ac:dyDescent="0.25">
      <c r="A17" t="s">
        <v>997</v>
      </c>
    </row>
    <row r="18" spans="1:1" x14ac:dyDescent="0.25">
      <c r="A18" t="s">
        <v>998</v>
      </c>
    </row>
    <row r="19" spans="1:1" x14ac:dyDescent="0.25">
      <c r="A19" t="s">
        <v>999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47C5C-A39A-40CC-8BA3-F59CBD112007}">
  <sheetPr codeName="Hoja6"/>
  <dimension ref="A1:A24"/>
  <sheetViews>
    <sheetView workbookViewId="0"/>
  </sheetViews>
  <sheetFormatPr baseColWidth="10" defaultColWidth="11.42578125" defaultRowHeight="15" x14ac:dyDescent="0.25"/>
  <sheetData>
    <row r="1" spans="1:1" x14ac:dyDescent="0.25">
      <c r="A1" s="5">
        <v>0</v>
      </c>
    </row>
    <row r="2" spans="1:1" x14ac:dyDescent="0.25">
      <c r="A2" s="5">
        <v>1</v>
      </c>
    </row>
    <row r="3" spans="1:1" x14ac:dyDescent="0.25">
      <c r="A3" s="5">
        <v>2</v>
      </c>
    </row>
    <row r="4" spans="1:1" x14ac:dyDescent="0.25">
      <c r="A4" s="5">
        <v>3</v>
      </c>
    </row>
    <row r="5" spans="1:1" x14ac:dyDescent="0.25">
      <c r="A5" s="5">
        <v>4</v>
      </c>
    </row>
    <row r="6" spans="1:1" x14ac:dyDescent="0.25">
      <c r="A6" s="5">
        <v>5</v>
      </c>
    </row>
    <row r="7" spans="1:1" x14ac:dyDescent="0.25">
      <c r="A7" s="5">
        <v>6</v>
      </c>
    </row>
    <row r="8" spans="1:1" x14ac:dyDescent="0.25">
      <c r="A8" s="5">
        <v>7</v>
      </c>
    </row>
    <row r="9" spans="1:1" x14ac:dyDescent="0.25">
      <c r="A9" s="5">
        <v>8</v>
      </c>
    </row>
    <row r="10" spans="1:1" x14ac:dyDescent="0.25">
      <c r="A10" s="5">
        <v>9</v>
      </c>
    </row>
    <row r="11" spans="1:1" x14ac:dyDescent="0.25">
      <c r="A11" s="5">
        <v>10</v>
      </c>
    </row>
    <row r="12" spans="1:1" x14ac:dyDescent="0.25">
      <c r="A12" s="5">
        <v>11</v>
      </c>
    </row>
    <row r="13" spans="1:1" x14ac:dyDescent="0.25">
      <c r="A13" s="5">
        <v>12</v>
      </c>
    </row>
    <row r="14" spans="1:1" x14ac:dyDescent="0.25">
      <c r="A14" s="5">
        <v>13</v>
      </c>
    </row>
    <row r="15" spans="1:1" x14ac:dyDescent="0.25">
      <c r="A15" s="5">
        <v>14</v>
      </c>
    </row>
    <row r="16" spans="1:1" x14ac:dyDescent="0.25">
      <c r="A16" s="5">
        <v>15</v>
      </c>
    </row>
    <row r="17" spans="1:1" x14ac:dyDescent="0.25">
      <c r="A17" s="5">
        <v>16</v>
      </c>
    </row>
    <row r="18" spans="1:1" x14ac:dyDescent="0.25">
      <c r="A18" s="5">
        <v>17</v>
      </c>
    </row>
    <row r="19" spans="1:1" x14ac:dyDescent="0.25">
      <c r="A19" s="5">
        <v>18</v>
      </c>
    </row>
    <row r="20" spans="1:1" x14ac:dyDescent="0.25">
      <c r="A20" s="5">
        <v>19</v>
      </c>
    </row>
    <row r="21" spans="1:1" x14ac:dyDescent="0.25">
      <c r="A21" s="5">
        <v>20</v>
      </c>
    </row>
    <row r="22" spans="1:1" x14ac:dyDescent="0.25">
      <c r="A22" s="5">
        <v>21</v>
      </c>
    </row>
    <row r="23" spans="1:1" x14ac:dyDescent="0.25">
      <c r="A23" s="5">
        <v>22</v>
      </c>
    </row>
    <row r="24" spans="1:1" x14ac:dyDescent="0.25">
      <c r="A24" s="5">
        <v>23</v>
      </c>
    </row>
  </sheetData>
  <sortState xmlns:xlrd2="http://schemas.microsoft.com/office/spreadsheetml/2017/richdata2" ref="A1:A24">
    <sortCondition ref="A1:A2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11</vt:i4>
      </vt:variant>
    </vt:vector>
  </HeadingPairs>
  <TitlesOfParts>
    <vt:vector size="21" baseType="lpstr">
      <vt:lpstr>INDICACIONES</vt:lpstr>
      <vt:lpstr>ALIMENTACIÓN</vt:lpstr>
      <vt:lpstr>PHP</vt:lpstr>
      <vt:lpstr>PHP PREARMADOS</vt:lpstr>
      <vt:lpstr>CONTROLES</vt:lpstr>
      <vt:lpstr>PARAMETROS PHP</vt:lpstr>
      <vt:lpstr>MEDICACION</vt:lpstr>
      <vt:lpstr>POSOLOGIA</vt:lpstr>
      <vt:lpstr>VIAS</vt:lpstr>
      <vt:lpstr>HORARIO</vt:lpstr>
      <vt:lpstr>AMPOLLAS</vt:lpstr>
      <vt:lpstr>INDICACIONES!Área_de_impresión</vt:lpstr>
      <vt:lpstr>CONTROLES</vt:lpstr>
      <vt:lpstr>GOTEO</vt:lpstr>
      <vt:lpstr>Horario</vt:lpstr>
      <vt:lpstr>Medicacion</vt:lpstr>
      <vt:lpstr>PLAN</vt:lpstr>
      <vt:lpstr>POSOLOGIA</vt:lpstr>
      <vt:lpstr>SOLUCIONES</vt:lpstr>
      <vt:lpstr>VIA</vt:lpstr>
      <vt:lpstr>VIAS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Perez</dc:creator>
  <cp:keywords/>
  <dc:description/>
  <cp:lastModifiedBy>Leandro Sanchez</cp:lastModifiedBy>
  <cp:revision/>
  <dcterms:created xsi:type="dcterms:W3CDTF">2023-09-11T12:04:36Z</dcterms:created>
  <dcterms:modified xsi:type="dcterms:W3CDTF">2023-10-31T13:39:07Z</dcterms:modified>
  <cp:category/>
  <cp:contentStatus/>
</cp:coreProperties>
</file>